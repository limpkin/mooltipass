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D36" i="1"/>
</calcChain>
</file>

<file path=xl/sharedStrings.xml><?xml version="1.0" encoding="utf-8"?>
<sst xmlns="http://schemas.openxmlformats.org/spreadsheetml/2006/main" count="234" uniqueCount="183">
  <si>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</si>
  <si>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</si>
  <si>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</si>
  <si>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</si>
  <si>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</si>
  <si>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</si>
  <si>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</si>
  <si>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</si>
  <si>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Total:</t>
  </si>
  <si>
    <t>Project Bill Of Materials</t>
  </si>
  <si>
    <t>Category</t>
  </si>
  <si>
    <t>Family</t>
  </si>
  <si>
    <t>(Value)</t>
  </si>
  <si>
    <t>http://www.digikey.com/product-detail/en/5145300-3/A117663-ND/4731128</t>
  </si>
  <si>
    <t>http://www.digikey.com/product-detail/en/ATMEGA32U4-MU/ATMEGA32U4-MU-ND/1914603</t>
  </si>
  <si>
    <t>TE Connectivity AMP Connectors</t>
  </si>
  <si>
    <t>Connectors, Interconnects</t>
  </si>
  <si>
    <t>Memory Connectors - PC Card Sockets</t>
  </si>
  <si>
    <t>Integrated Circuits (ICs)</t>
  </si>
  <si>
    <t>5145300-3</t>
  </si>
  <si>
    <t>SMT CARD RCPT,8 POS, W/ COVER</t>
  </si>
  <si>
    <t>44-QFN (7x7)</t>
  </si>
  <si>
    <t>U4</t>
  </si>
  <si>
    <t>U6</t>
  </si>
  <si>
    <t>X1</t>
  </si>
  <si>
    <t>http://www.digikey.com/product-detail/en/NX3225SA-16.000000MHZ-STD-CSR-1/644-1049-1-ND/1128921</t>
  </si>
  <si>
    <t>U1</t>
  </si>
  <si>
    <t>http://www.digikey.com/product-detail/en/IP4234CZ6,125/568-5869-1-ND/2531156</t>
  </si>
  <si>
    <t>FB1</t>
  </si>
  <si>
    <t>http://www.digikey.com/product-detail/en/BLM18KG601SN1D/490-5258-1-ND/1982781</t>
  </si>
  <si>
    <t>http://www.digikey.com/product-detail/en/EMK107B7105KA-T/587-1241-1-ND/931018</t>
  </si>
  <si>
    <t>C9</t>
  </si>
  <si>
    <t>http://www.digikey.com/product-detail/en/GRM31CR61E106KA12L/490-3373-1-ND/702914</t>
  </si>
  <si>
    <t>C23 C24</t>
  </si>
  <si>
    <t>http://www.digikey.com/product-detail/en/C1608C0G1H180J080AA/445-1272-1-ND/567674</t>
  </si>
  <si>
    <t>R7 R8</t>
  </si>
  <si>
    <t>http://www.digikey.com/product-detail/en/ERJ-3EKF22R0V/P22.0HCT-ND/1746745</t>
  </si>
  <si>
    <t>http://www.digikey.com/product-detail/en/10118194-0001LF/609-4618-1-ND/2785382</t>
  </si>
  <si>
    <t>CON1</t>
  </si>
  <si>
    <t>http://www.digikey.com/product-detail/en/ERJ-3EKF1002V/P10.0KHCT-ND/198102</t>
  </si>
  <si>
    <t>http://www.digikey.com/product-detail/en/2N7002ET1G/2N7002ET1GOSCT-ND/1967029</t>
  </si>
  <si>
    <t>http://www.digikey.com/product-detail/en/AT45DB041E-SHN-T/AT45DB041E-SHN-TCT-ND/4311895</t>
  </si>
  <si>
    <t>U5</t>
  </si>
  <si>
    <t>http://www.digikey.com/product-detail/en/GRM188R71H104KA93D/490-1519-1-ND/587854</t>
  </si>
  <si>
    <t>http://www.digikey.com/product-detail/en/C1608X7R1C224K080AC/445-1318-1-ND/567690</t>
  </si>
  <si>
    <t>C6 C7</t>
  </si>
  <si>
    <t>http://www.digikey.com/product-detail/en/AO3401A/785-1001-1-ND/1855943</t>
  </si>
  <si>
    <t>Q1 Q3</t>
  </si>
  <si>
    <t>http://www.digikey.com/product-detail/en/CL31B475KAHNNNE/1276-1055-1-ND/3889141</t>
  </si>
  <si>
    <t>http://www.digikey.com/product-detail/en/EMK107ABJ475KA-T/587-2786-1-ND/2573980</t>
  </si>
  <si>
    <t>C19</t>
  </si>
  <si>
    <t>C3 C5</t>
  </si>
  <si>
    <t>http://www.digikey.com/product-detail/en/ERJ-3EKF9103V/P910KHCT-ND/1746814</t>
  </si>
  <si>
    <t>R2</t>
  </si>
  <si>
    <t>http://www.digikey.com/product-detail/en/CL31A226KAHNNNE/1276-3047-1-ND/3891133</t>
  </si>
  <si>
    <t>C16 C17</t>
  </si>
  <si>
    <t>http://www.digikey.com/product-detail/en/742C163472JP/742C163472JPCT-ND/1124497</t>
  </si>
  <si>
    <t>R4</t>
  </si>
  <si>
    <t>http://www.digikey.com/product-detail/en/742C163222JP/742C163222JPCT-ND/1124507</t>
  </si>
  <si>
    <t>R3</t>
  </si>
  <si>
    <t>NDK</t>
  </si>
  <si>
    <t>NX3225SA-16.000MHZ-STD-CSR-1</t>
  </si>
  <si>
    <t>16MHz ±15ppm Crystal 8pF 80 Ohm -10°C ~ 75°C  Surface Mount 4-SMD, No Lead (DFN, LCC)</t>
  </si>
  <si>
    <t>Crystals and Oscillators</t>
  </si>
  <si>
    <t>Crystals</t>
  </si>
  <si>
    <t>4-SMD, No Lead (DFN, LCC)</t>
  </si>
  <si>
    <t>NXP Semiconductors</t>
  </si>
  <si>
    <t>IP4234CZ6,125</t>
  </si>
  <si>
    <t>TVS DIODE 5.5VWM 6TSOP</t>
  </si>
  <si>
    <t>Circuit Protection</t>
  </si>
  <si>
    <t>TVS - Diodes</t>
  </si>
  <si>
    <t>6-TSOP</t>
  </si>
  <si>
    <t>Murata Electronics North America</t>
  </si>
  <si>
    <t>BLM18KG601SN1D</t>
  </si>
  <si>
    <t>Filters</t>
  </si>
  <si>
    <t>Ferrite Beads and Chips</t>
  </si>
  <si>
    <t>0603 (1608 Metric)</t>
  </si>
  <si>
    <t>Taiyo Yuden</t>
  </si>
  <si>
    <t>EMK107B7105KA-T</t>
  </si>
  <si>
    <t>CAP CER 1UF 16V X7R 0603</t>
  </si>
  <si>
    <t>Capacitors</t>
  </si>
  <si>
    <t>Ceramic Capacitors</t>
  </si>
  <si>
    <t>GRM31CR61E106KA12L</t>
  </si>
  <si>
    <t>CAP CER 10UF 25V X5R 1206</t>
  </si>
  <si>
    <t>1206 (3216 Metric)</t>
  </si>
  <si>
    <t>TDK Corporation</t>
  </si>
  <si>
    <t>C1608C0G1H180J080AA</t>
  </si>
  <si>
    <t>CAP CER 18PF 50V C0G 0603</t>
  </si>
  <si>
    <t>Panasonic Electronic Components</t>
  </si>
  <si>
    <t>ERJ-3EKF22R0V</t>
  </si>
  <si>
    <t>RES SMD 22 OHM 1% 1/10W 0603</t>
  </si>
  <si>
    <t>Resistors</t>
  </si>
  <si>
    <t>Chip Resistor - Surface Mount</t>
  </si>
  <si>
    <t>10118194-0001LF</t>
  </si>
  <si>
    <t>USB - micro B USB 2.0 Receptacle Connector 5 Position Surface Mount, Right Angle, Horizontal</t>
  </si>
  <si>
    <t>USB, DVI, HDMI Connectors</t>
  </si>
  <si>
    <t>ERJ-3EKF1002V</t>
  </si>
  <si>
    <t>RES SMD 10K OHM 1% 1/10W 0603</t>
  </si>
  <si>
    <t>ON Semiconductor</t>
  </si>
  <si>
    <t>2N7002ET1G</t>
  </si>
  <si>
    <t>MOSFET N-CH 60V 260MA SOT-23</t>
  </si>
  <si>
    <t>Discrete Semiconductor Products</t>
  </si>
  <si>
    <t>FETs - Single</t>
  </si>
  <si>
    <t>SOT-23-3 (TO-236)</t>
  </si>
  <si>
    <t>Adesto Technologies</t>
  </si>
  <si>
    <t>AT45DB041E-SHN-T</t>
  </si>
  <si>
    <t>IC FLASH 4MBIT 85MHZ 8SOIC</t>
  </si>
  <si>
    <t>Memory</t>
  </si>
  <si>
    <t>8-SOIC</t>
  </si>
  <si>
    <t>GRM188R71H104KA93D</t>
  </si>
  <si>
    <t>CAP CER 0.1UF 50V X7R 0603</t>
  </si>
  <si>
    <t>C1608X7R1C224K080AC</t>
  </si>
  <si>
    <t>CAP CER 0.22UF 16V X7R 0603</t>
  </si>
  <si>
    <t>Alpha &amp;amp; Omega Semiconductor Inc.</t>
  </si>
  <si>
    <t>AO3401A</t>
  </si>
  <si>
    <t>MOSFET P-CH 30V 4A SOT23</t>
  </si>
  <si>
    <t>SOT-23-3</t>
  </si>
  <si>
    <t>Samsung Electro-Mechanics America, Inc.</t>
  </si>
  <si>
    <t>CL31B475KAHNNNE</t>
  </si>
  <si>
    <t>CAP CER 4.7UF 25V X7R 1206</t>
  </si>
  <si>
    <t>EMK107ABJ475KA-T</t>
  </si>
  <si>
    <t>CAP CER 4.7UF 16V X5R 0603</t>
  </si>
  <si>
    <t>ERJ-3EKF9103V</t>
  </si>
  <si>
    <t>RES SMD 910K OHM 1% 1/10W 0603</t>
  </si>
  <si>
    <t>CL31A226KAHNNNE</t>
  </si>
  <si>
    <t>CAP CER 22UF 25V X5R 1206</t>
  </si>
  <si>
    <t>CTS Resistor Products</t>
  </si>
  <si>
    <t>742C163472JP</t>
  </si>
  <si>
    <t>RES ARRAY 8 RES 4.7K OHM 2506</t>
  </si>
  <si>
    <t>Resistor Networks, Arrays</t>
  </si>
  <si>
    <t>742C163222JP</t>
  </si>
  <si>
    <t>RES ARRAY 8 RES 2.2K OHM 2506</t>
  </si>
  <si>
    <t>8pF</t>
  </si>
  <si>
    <t>1µF</t>
  </si>
  <si>
    <t>10µF</t>
  </si>
  <si>
    <t>18pF</t>
  </si>
  <si>
    <t>0.22µF</t>
  </si>
  <si>
    <t>4.7µF</t>
  </si>
  <si>
    <t>22µF</t>
  </si>
  <si>
    <t>10k</t>
  </si>
  <si>
    <t>910k</t>
  </si>
  <si>
    <t>4.7k</t>
  </si>
  <si>
    <t>2.2k</t>
  </si>
  <si>
    <t>U3</t>
  </si>
  <si>
    <t>http://www.digikey.com/product-detail/en/SFV24R-2STE1HLF/609-4321-1-ND/2626772</t>
  </si>
  <si>
    <t>SFV24R-2STE1HLF</t>
  </si>
  <si>
    <t>CONN FFC TOP 24POS 0.50MM R/A</t>
  </si>
  <si>
    <t>FFC, FPC (Flat Flexible) Connectors</t>
  </si>
  <si>
    <t>http://www.digikey.com/product-detail/en/ST662ACD-TR/497-6542-1-ND/1865353</t>
  </si>
  <si>
    <t>U2</t>
  </si>
  <si>
    <t>STMicroelectronics</t>
  </si>
  <si>
    <t>ST662ACD-TR</t>
  </si>
  <si>
    <t>IC REG SWTCHD CAP 12V 30MA 8SOIC</t>
  </si>
  <si>
    <t>PMIC - Voltage Regulators - DC DC Switching Regulators</t>
  </si>
  <si>
    <t>8-SO</t>
  </si>
  <si>
    <t>Amphenol FCI</t>
  </si>
  <si>
    <t>PUSH BUTTON TACT WITCH TS-005</t>
  </si>
  <si>
    <t>http://www.alibaba.com/product-detail/Push-button-tact-switch-TS-005_60325412854.html</t>
  </si>
  <si>
    <t>http://www.digikey.com/product-detail/en/stmicroelectronics/ESDA6V1L/497-2930-1-ND/634875</t>
  </si>
  <si>
    <t>ESDA6V1L</t>
  </si>
  <si>
    <t>TVS DIODE 5.25VWM SOT23</t>
  </si>
  <si>
    <t>FERRITE BEAD 600 OHM 0603 1LN</t>
  </si>
  <si>
    <t>Atmel</t>
  </si>
  <si>
    <t>ATMEGA32U4-MU</t>
  </si>
  <si>
    <t>IC MCU 8BIT 32KB FLASH 44QFN</t>
  </si>
  <si>
    <t>Embedded - Microcontrollers</t>
  </si>
  <si>
    <t>D1</t>
  </si>
  <si>
    <t>0.10µF</t>
  </si>
  <si>
    <t>C8 C25 C26</t>
  </si>
  <si>
    <t>http://www.digikey.com/product-detail/en/stmicroelectronics/LIS2HH12TR/497-15069-1-ND/5043075</t>
  </si>
  <si>
    <t>U7</t>
  </si>
  <si>
    <t>LIS2HH12TR</t>
  </si>
  <si>
    <t>ACCELEROMETER MEMS 3AXIS 12VFLGA</t>
  </si>
  <si>
    <t>Sensors, Transducers</t>
  </si>
  <si>
    <t>Accelerometers</t>
  </si>
  <si>
    <t>12-LGA (2x2)</t>
  </si>
  <si>
    <t>C20 C1 C4 C21 C22 C10 C11 C12 C13 C14 C15 C18 C2 C27</t>
  </si>
  <si>
    <t>U8</t>
  </si>
  <si>
    <t>PANASONIC</t>
  </si>
  <si>
    <t>DO NOT POPULATE</t>
  </si>
  <si>
    <t>R1 R5 R6 R14</t>
  </si>
  <si>
    <t>Q2</t>
  </si>
  <si>
    <t>R9 R10 R11 R12 R13 D2 D3 D4 D5 Q4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</si>
</sst>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3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 wrapText="1"/>
    </xf>
    <xf numFmtId="0" fontId="8" fillId="2" borderId="3" xfId="2" applyFont="1" applyFill="1" applyBorder="1" applyAlignment="1" applyProtection="1">
      <alignment horizontal="center"/>
    </xf>
    <xf numFmtId="0" fontId="0" fillId="0" borderId="3" xfId="0" applyBorder="1"/>
    <xf numFmtId="0" fontId="0" fillId="0" borderId="4" xfId="0" applyBorder="1"/>
    <xf numFmtId="0" fontId="3" fillId="0" borderId="9" xfId="1" applyFont="1" applyBorder="1" applyAlignment="1">
      <alignment horizontal="center" vertical="center" wrapText="1"/>
    </xf>
    <xf numFmtId="0" fontId="3" fillId="0" borderId="14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17" xfId="1" applyFont="1" applyBorder="1" applyAlignment="1">
      <alignment horizontal="center" vertical="center" wrapText="1"/>
    </xf>
    <xf numFmtId="0" fontId="11" fillId="2" borderId="12" xfId="1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/>
    </xf>
    <xf numFmtId="0" fontId="10" fillId="2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0" fillId="2" borderId="2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 wrapText="1"/>
    </xf>
    <xf numFmtId="0" fontId="3" fillId="3" borderId="10" xfId="1" applyFont="1" applyFill="1" applyBorder="1" applyAlignment="1">
      <alignment horizontal="center" vertical="center" wrapText="1"/>
    </xf>
    <xf numFmtId="0" fontId="10" fillId="3" borderId="13" xfId="1" applyFont="1" applyFill="1" applyBorder="1" applyAlignment="1">
      <alignment horizontal="center"/>
    </xf>
    <xf numFmtId="0" fontId="10" fillId="3" borderId="7" xfId="1" applyFont="1" applyFill="1" applyBorder="1" applyAlignment="1">
      <alignment horizontal="center" vertical="center" wrapText="1"/>
    </xf>
    <xf numFmtId="0" fontId="10" fillId="3" borderId="7" xfId="1" applyFont="1" applyFill="1" applyBorder="1" applyAlignment="1">
      <alignment horizontal="center" vertical="center"/>
    </xf>
    <xf numFmtId="0" fontId="4" fillId="3" borderId="7" xfId="2" applyFill="1" applyBorder="1" applyAlignment="1" applyProtection="1">
      <alignment horizontal="center" vertical="center"/>
    </xf>
    <xf numFmtId="0" fontId="10" fillId="3" borderId="8" xfId="1" applyFont="1" applyFill="1" applyBorder="1" applyAlignment="1">
      <alignment horizontal="center" vertical="center" wrapText="1"/>
    </xf>
    <xf numFmtId="0" fontId="3" fillId="3" borderId="5" xfId="1" applyFont="1" applyFill="1" applyBorder="1" applyAlignment="1">
      <alignment horizontal="center" vertical="center" wrapText="1"/>
    </xf>
    <xf numFmtId="0" fontId="3" fillId="3" borderId="11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" fillId="3" borderId="1" xfId="2" applyFill="1" applyBorder="1" applyAlignment="1" applyProtection="1">
      <alignment horizontal="center" vertical="center"/>
    </xf>
    <xf numFmtId="0" fontId="10" fillId="3" borderId="2" xfId="1" applyFont="1" applyFill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 wrapText="1"/>
    </xf>
    <xf numFmtId="0" fontId="3" fillId="4" borderId="11" xfId="1" applyFont="1" applyFill="1" applyBorder="1" applyAlignment="1">
      <alignment horizontal="center" vertical="center" wrapText="1"/>
    </xf>
    <xf numFmtId="0" fontId="10" fillId="4" borderId="5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 wrapText="1"/>
    </xf>
    <xf numFmtId="0" fontId="10" fillId="4" borderId="1" xfId="1" applyFont="1" applyFill="1" applyBorder="1" applyAlignment="1">
      <alignment horizontal="center" vertical="center"/>
    </xf>
    <xf numFmtId="0" fontId="4" fillId="4" borderId="1" xfId="2" applyFill="1" applyBorder="1" applyAlignment="1" applyProtection="1">
      <alignment horizontal="center"/>
    </xf>
    <xf numFmtId="0" fontId="10" fillId="4" borderId="2" xfId="1" applyFont="1" applyFill="1" applyBorder="1" applyAlignment="1">
      <alignment horizontal="center" vertical="center" wrapText="1"/>
    </xf>
    <xf numFmtId="0" fontId="3" fillId="5" borderId="5" xfId="1" applyFont="1" applyFill="1" applyBorder="1" applyAlignment="1">
      <alignment horizontal="center" vertical="center" wrapText="1"/>
    </xf>
    <xf numFmtId="0" fontId="3" fillId="5" borderId="11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/>
    </xf>
    <xf numFmtId="0" fontId="10" fillId="5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4" fillId="5" borderId="1" xfId="2" applyFill="1" applyBorder="1" applyAlignment="1" applyProtection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3" fillId="6" borderId="5" xfId="1" applyFont="1" applyFill="1" applyBorder="1" applyAlignment="1">
      <alignment horizontal="center" vertical="center" wrapText="1"/>
    </xf>
    <xf numFmtId="0" fontId="3" fillId="6" borderId="11" xfId="1" applyFont="1" applyFill="1" applyBorder="1" applyAlignment="1">
      <alignment horizontal="center" vertical="center" wrapText="1"/>
    </xf>
    <xf numFmtId="0" fontId="10" fillId="6" borderId="5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 vertical="center" wrapText="1"/>
    </xf>
    <xf numFmtId="0" fontId="10" fillId="6" borderId="1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 wrapText="1"/>
    </xf>
    <xf numFmtId="0" fontId="3" fillId="7" borderId="11" xfId="1" applyFont="1" applyFill="1" applyBorder="1" applyAlignment="1">
      <alignment horizontal="center" vertical="center" wrapText="1"/>
    </xf>
    <xf numFmtId="0" fontId="10" fillId="7" borderId="5" xfId="1" applyFont="1" applyFill="1" applyBorder="1" applyAlignment="1">
      <alignment horizontal="center"/>
    </xf>
    <xf numFmtId="0" fontId="10" fillId="7" borderId="1" xfId="1" applyFont="1" applyFill="1" applyBorder="1" applyAlignment="1">
      <alignment horizontal="center" vertical="center" wrapText="1"/>
    </xf>
    <xf numFmtId="0" fontId="10" fillId="7" borderId="1" xfId="1" applyFont="1" applyFill="1" applyBorder="1" applyAlignment="1">
      <alignment horizontal="center" vertical="center"/>
    </xf>
    <xf numFmtId="0" fontId="4" fillId="7" borderId="1" xfId="2" applyFill="1" applyBorder="1" applyAlignment="1" applyProtection="1">
      <alignment horizontal="center"/>
    </xf>
    <xf numFmtId="0" fontId="3" fillId="8" borderId="5" xfId="1" applyFont="1" applyFill="1" applyBorder="1" applyAlignment="1">
      <alignment horizontal="center" vertical="center" wrapText="1"/>
    </xf>
    <xf numFmtId="0" fontId="3" fillId="8" borderId="11" xfId="1" applyFont="1" applyFill="1" applyBorder="1" applyAlignment="1">
      <alignment horizontal="center" vertical="center" wrapText="1"/>
    </xf>
    <xf numFmtId="0" fontId="10" fillId="8" borderId="5" xfId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 vertical="center" wrapText="1"/>
    </xf>
    <xf numFmtId="0" fontId="10" fillId="8" borderId="1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 vertical="center"/>
    </xf>
    <xf numFmtId="0" fontId="10" fillId="8" borderId="2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/>
    </xf>
    <xf numFmtId="0" fontId="10" fillId="8" borderId="2" xfId="1" applyFont="1" applyFill="1" applyBorder="1" applyAlignment="1">
      <alignment horizontal="center" vertical="center" wrapText="1"/>
    </xf>
    <xf numFmtId="0" fontId="3" fillId="9" borderId="5" xfId="1" applyFont="1" applyFill="1" applyBorder="1" applyAlignment="1">
      <alignment horizontal="center" vertical="center" wrapText="1"/>
    </xf>
    <xf numFmtId="0" fontId="3" fillId="9" borderId="11" xfId="1" applyFont="1" applyFill="1" applyBorder="1" applyAlignment="1">
      <alignment horizontal="center" vertical="center" wrapText="1"/>
    </xf>
    <xf numFmtId="0" fontId="10" fillId="9" borderId="5" xfId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 vertical="center" wrapText="1"/>
    </xf>
    <xf numFmtId="0" fontId="10" fillId="9" borderId="1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10" fillId="9" borderId="2" xfId="1" applyFont="1" applyFill="1" applyBorder="1" applyAlignment="1">
      <alignment horizontal="center" vertical="center" wrapText="1"/>
    </xf>
    <xf numFmtId="0" fontId="3" fillId="10" borderId="5" xfId="1" applyFont="1" applyFill="1" applyBorder="1" applyAlignment="1">
      <alignment horizontal="center" vertical="center" wrapText="1"/>
    </xf>
    <xf numFmtId="0" fontId="3" fillId="10" borderId="11" xfId="1" applyFont="1" applyFill="1" applyBorder="1" applyAlignment="1">
      <alignment horizontal="center" vertical="center" wrapText="1"/>
    </xf>
    <xf numFmtId="0" fontId="10" fillId="10" borderId="5" xfId="1" applyFont="1" applyFill="1" applyBorder="1" applyAlignment="1">
      <alignment horizontal="center"/>
    </xf>
    <xf numFmtId="0" fontId="10" fillId="10" borderId="1" xfId="1" applyFont="1" applyFill="1" applyBorder="1" applyAlignment="1">
      <alignment horizontal="center" vertical="center" wrapText="1"/>
    </xf>
    <xf numFmtId="0" fontId="10" fillId="10" borderId="1" xfId="1" applyFont="1" applyFill="1" applyBorder="1" applyAlignment="1">
      <alignment horizontal="center" vertical="center"/>
    </xf>
    <xf numFmtId="0" fontId="10" fillId="10" borderId="2" xfId="1" applyFont="1" applyFill="1" applyBorder="1" applyAlignment="1">
      <alignment horizontal="center" vertical="center" wrapText="1"/>
    </xf>
    <xf numFmtId="0" fontId="4" fillId="10" borderId="1" xfId="2" applyFill="1" applyBorder="1" applyAlignment="1" applyProtection="1">
      <alignment horizontal="center"/>
    </xf>
    <xf numFmtId="0" fontId="10" fillId="3" borderId="1" xfId="1" applyFont="1" applyFill="1" applyBorder="1" applyAlignment="1">
      <alignment horizontal="center" vertical="center"/>
    </xf>
    <xf numFmtId="0" fontId="4" fillId="3" borderId="1" xfId="2" applyFill="1" applyBorder="1" applyAlignment="1" applyProtection="1">
      <alignment horizontal="center"/>
    </xf>
    <xf numFmtId="0" fontId="10" fillId="7" borderId="2" xfId="1" applyFont="1" applyFill="1" applyBorder="1" applyAlignment="1">
      <alignment horizontal="center" vertical="center"/>
    </xf>
    <xf numFmtId="0" fontId="4" fillId="6" borderId="1" xfId="2" applyFill="1" applyBorder="1" applyAlignment="1" applyProtection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/>
    </xf>
    <xf numFmtId="0" fontId="3" fillId="2" borderId="18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center" vertical="center" wrapText="1"/>
    </xf>
    <xf numFmtId="0" fontId="10" fillId="2" borderId="18" xfId="1" applyFont="1" applyFill="1" applyBorder="1" applyAlignment="1">
      <alignment horizontal="center"/>
    </xf>
    <xf numFmtId="0" fontId="10" fillId="2" borderId="20" xfId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 vertical="center"/>
    </xf>
    <xf numFmtId="0" fontId="4" fillId="2" borderId="20" xfId="2" applyFill="1" applyBorder="1" applyAlignment="1" applyProtection="1">
      <alignment horizontal="center"/>
    </xf>
    <xf numFmtId="0" fontId="10" fillId="2" borderId="21" xfId="1" applyFont="1" applyFill="1" applyBorder="1" applyAlignment="1">
      <alignment horizontal="center" vertical="center"/>
    </xf>
    <xf numFmtId="0" fontId="3" fillId="11" borderId="5" xfId="1" applyFont="1" applyFill="1" applyBorder="1" applyAlignment="1">
      <alignment horizontal="center" vertical="center" wrapText="1"/>
    </xf>
    <xf numFmtId="0" fontId="3" fillId="11" borderId="11" xfId="1" applyFont="1" applyFill="1" applyBorder="1" applyAlignment="1">
      <alignment horizontal="center" vertical="center" wrapText="1"/>
    </xf>
    <xf numFmtId="0" fontId="10" fillId="11" borderId="5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 vertical="center" wrapText="1"/>
    </xf>
    <xf numFmtId="0" fontId="10" fillId="11" borderId="1" xfId="1" applyFont="1" applyFill="1" applyBorder="1" applyAlignment="1">
      <alignment horizontal="center" vertical="center"/>
    </xf>
    <xf numFmtId="0" fontId="4" fillId="11" borderId="1" xfId="2" applyFill="1" applyBorder="1" applyAlignment="1" applyProtection="1">
      <alignment horizontal="center"/>
    </xf>
    <xf numFmtId="0" fontId="10" fillId="11" borderId="2" xfId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SFV24R-2STE1HLF/609-4321-1-ND/2626772" TargetMode="External"/><Relationship Id="rId13" Type="http://schemas.openxmlformats.org/officeDocument/2006/relationships/hyperlink" Target="http://www.digikey.com/product-detail/en/BLM18KG601SN1D/490-5258-1-ND/1982781" TargetMode="External"/><Relationship Id="rId18" Type="http://schemas.openxmlformats.org/officeDocument/2006/relationships/hyperlink" Target="http://www.digikey.com/product-detail/en/GRM188R71H104KA93D/490-1519-1-ND/587854" TargetMode="External"/><Relationship Id="rId26" Type="http://schemas.openxmlformats.org/officeDocument/2006/relationships/hyperlink" Target="http://www.digikey.com/product-detail/en/lite-on-inc/LTST-S220TBKT/160-2032-1-ND/3711395" TargetMode="External"/><Relationship Id="rId39" Type="http://schemas.openxmlformats.org/officeDocument/2006/relationships/ctrlProp" Target="../ctrlProps/ctrlProp1.xml"/><Relationship Id="rId3" Type="http://schemas.openxmlformats.org/officeDocument/2006/relationships/hyperlink" Target="http://www.digikey.com/product-detail/en/EMK107B7105KA-T/587-1241-1-ND/931018" TargetMode="External"/><Relationship Id="rId21" Type="http://schemas.openxmlformats.org/officeDocument/2006/relationships/hyperlink" Target="http://www.digikey.com/product-detail/en/742C163222JP/742C163222JPCT-ND/1124507" TargetMode="External"/><Relationship Id="rId34" Type="http://schemas.openxmlformats.org/officeDocument/2006/relationships/ctrlProp" Target="../ctrlProps/ctrlProp3.xml"/><Relationship Id="rId7" Type="http://schemas.openxmlformats.org/officeDocument/2006/relationships/hyperlink" Target="http://www.digikey.com/product-detail/en/AO3401A/785-1001-1-ND/1855943" TargetMode="External"/><Relationship Id="rId12" Type="http://schemas.openxmlformats.org/officeDocument/2006/relationships/hyperlink" Target="http://www.digikey.com/product-detail/en/IP4234CZ6,125/568-5869-1-ND/2531156" TargetMode="External"/><Relationship Id="rId17" Type="http://schemas.openxmlformats.org/officeDocument/2006/relationships/hyperlink" Target="http://www.digikey.com/product-detail/en/C1608X7R1C224K080AC/445-1318-1-ND/567690" TargetMode="External"/><Relationship Id="rId25" Type="http://schemas.openxmlformats.org/officeDocument/2006/relationships/hyperlink" Target="http://www.digikey.com/product-detail/en/stmicroelectronics/ESDA6V1L/497-2930-1-ND/634875" TargetMode="External"/><Relationship Id="rId33" Type="http://schemas.openxmlformats.org/officeDocument/2006/relationships/ctrlProp" Target="../ctrlProps/ctrlProp2.xml"/><Relationship Id="rId38" Type="http://schemas.openxmlformats.org/officeDocument/2006/relationships/ctrlProp" Target="../ctrlProps/ctrlProp7.xml"/><Relationship Id="rId2" Type="http://schemas.openxmlformats.org/officeDocument/2006/relationships/hyperlink" Target="http://www.digikey.com/product-detail/en/10118194-0001LF/609-4618-1-ND/2785382" TargetMode="External"/><Relationship Id="rId16" Type="http://schemas.openxmlformats.org/officeDocument/2006/relationships/hyperlink" Target="http://www.digikey.com/product-detail/en/CL31B475KAHNNNE/1276-1055-1-ND/3889141" TargetMode="External"/><Relationship Id="rId20" Type="http://schemas.openxmlformats.org/officeDocument/2006/relationships/hyperlink" Target="http://www.digikey.com/product-detail/en/ERJ-3EKF1002V/P10.0KHCT-ND/198102" TargetMode="External"/><Relationship Id="rId1" Type="http://schemas.openxmlformats.org/officeDocument/2006/relationships/hyperlink" Target="http://www.digikey.com/product-detail/en/5145300-3/A117663-ND/4731128" TargetMode="External"/><Relationship Id="rId6" Type="http://schemas.openxmlformats.org/officeDocument/2006/relationships/hyperlink" Target="http://www.digikey.com/product-detail/en/EMK107ABJ475KA-T/587-2786-1-ND/2573980" TargetMode="External"/><Relationship Id="rId11" Type="http://schemas.openxmlformats.org/officeDocument/2006/relationships/hyperlink" Target="http://www.digikey.com/product-detail/en/NX3225SA-16.000000MHZ-STD-CSR-1/644-1049-1-ND/1128921" TargetMode="External"/><Relationship Id="rId24" Type="http://schemas.openxmlformats.org/officeDocument/2006/relationships/hyperlink" Target="http://www.alibaba.com/product-detail/Push-button-tact-switch-TS-005_60325412854.html" TargetMode="External"/><Relationship Id="rId37" Type="http://schemas.openxmlformats.org/officeDocument/2006/relationships/ctrlProp" Target="../ctrlProps/ctrlProp6.xml"/><Relationship Id="rId5" Type="http://schemas.openxmlformats.org/officeDocument/2006/relationships/hyperlink" Target="http://www.digikey.com/product-detail/en/ERJ-3EKF9103V/P910KHCT-ND/1746814" TargetMode="External"/><Relationship Id="rId15" Type="http://schemas.openxmlformats.org/officeDocument/2006/relationships/hyperlink" Target="http://www.digikey.com/product-detail/en/GRM31CR61E106KA12L/490-3373-1-ND/702914" TargetMode="External"/><Relationship Id="rId23" Type="http://schemas.openxmlformats.org/officeDocument/2006/relationships/hyperlink" Target="http://www.digikey.com/product-detail/en/ST662ACD-TR/497-6542-1-ND/1865353" TargetMode="External"/><Relationship Id="rId28" Type="http://schemas.openxmlformats.org/officeDocument/2006/relationships/printerSettings" Target="../printerSettings/printerSettings1.bin"/><Relationship Id="rId36" Type="http://schemas.openxmlformats.org/officeDocument/2006/relationships/ctrlProp" Target="../ctrlProps/ctrlProp5.xml"/><Relationship Id="rId10" Type="http://schemas.openxmlformats.org/officeDocument/2006/relationships/hyperlink" Target="http://www.digikey.com/product-detail/en/AT45DB041E-SHN-T/AT45DB041E-SHN-TCT-ND/4311895" TargetMode="External"/><Relationship Id="rId19" Type="http://schemas.openxmlformats.org/officeDocument/2006/relationships/hyperlink" Target="http://www.digikey.com/product-detail/en/C1608C0G1H180J080AA/445-1272-1-ND/567674" TargetMode="External"/><Relationship Id="rId4" Type="http://schemas.openxmlformats.org/officeDocument/2006/relationships/hyperlink" Target="http://www.digikey.com/product-detail/en/ERJ-3EKF22R0V/P22.0HCT-ND/1746745" TargetMode="External"/><Relationship Id="rId9" Type="http://schemas.openxmlformats.org/officeDocument/2006/relationships/hyperlink" Target="http://www.digikey.com/product-detail/en/ATMEGA32U4-MU/ATMEGA32U4-MU-ND/1914603" TargetMode="External"/><Relationship Id="rId14" Type="http://schemas.openxmlformats.org/officeDocument/2006/relationships/hyperlink" Target="http://www.digikey.com/product-detail/en/CL31A226KAHNNNE/1276-3047-1-ND/3891133" TargetMode="External"/><Relationship Id="rId22" Type="http://schemas.openxmlformats.org/officeDocument/2006/relationships/hyperlink" Target="http://www.digikey.com/product-detail/en/2N7002ET1G/2N7002ET1GOSCT-ND/1967029" TargetMode="External"/><Relationship Id="rId27" Type="http://schemas.openxmlformats.org/officeDocument/2006/relationships/hyperlink" Target="http://www.digikey.com/product-detail/en/stmicroelectronics/LIS2HH12TR/497-15069-1-ND/5043075" TargetMode="External"/><Relationship Id="rId35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L37"/>
  <sheetViews>
    <sheetView tabSelected="1" zoomScale="115" zoomScaleNormal="115" workbookViewId="0">
      <selection activeCell="D35" sqref="D35"/>
    </sheetView>
  </sheetViews>
  <sheetFormatPr baseColWidth="10" defaultColWidth="11.42578125" defaultRowHeight="15"/>
  <cols>
    <col min="1" max="1" width="1.85546875" customWidth="1"/>
    <col min="2" max="2" width="5.140625" customWidth="1"/>
    <col min="3" max="3" width="28" customWidth="1"/>
    <col min="4" max="4" width="5.85546875" customWidth="1"/>
    <col min="5" max="5" width="36.85546875" customWidth="1"/>
    <col min="6" max="6" width="19.7109375" customWidth="1"/>
    <col min="7" max="7" width="32.5703125" bestFit="1" customWidth="1"/>
    <col min="8" max="8" width="17.42578125" customWidth="1"/>
    <col min="9" max="9" width="113" bestFit="1" customWidth="1"/>
    <col min="10" max="10" width="38" customWidth="1"/>
    <col min="11" max="11" width="54.7109375" customWidth="1"/>
    <col min="12" max="12" width="10.140625" customWidth="1"/>
  </cols>
  <sheetData>
    <row r="2" spans="1:12" ht="28.5">
      <c r="B2" s="106" t="s">
        <v>9</v>
      </c>
      <c r="C2" s="106"/>
      <c r="D2" s="106"/>
      <c r="E2" s="106"/>
      <c r="F2" s="106"/>
      <c r="G2" s="106"/>
      <c r="H2" s="106"/>
      <c r="I2" s="106"/>
      <c r="J2" s="1"/>
      <c r="K2" s="1"/>
      <c r="L2" s="1"/>
    </row>
    <row r="3" spans="1:12">
      <c r="B3" s="2"/>
      <c r="C3" s="2"/>
      <c r="D3" s="2"/>
      <c r="E3" s="2"/>
      <c r="F3" s="2"/>
      <c r="G3" s="2"/>
      <c r="H3" s="2"/>
      <c r="I3" s="2"/>
    </row>
    <row r="4" spans="1:12">
      <c r="B4" s="2"/>
      <c r="C4" s="2"/>
      <c r="D4" s="2"/>
      <c r="E4" s="2"/>
      <c r="F4" s="2"/>
      <c r="G4" s="2"/>
      <c r="H4" s="2"/>
      <c r="I4" s="2"/>
    </row>
    <row r="5" spans="1:12">
      <c r="B5" s="2"/>
      <c r="C5" s="2"/>
      <c r="D5" s="2"/>
      <c r="E5" s="2"/>
      <c r="F5" s="2"/>
      <c r="G5" s="2"/>
      <c r="H5" s="2"/>
      <c r="I5" s="2"/>
    </row>
    <row r="6" spans="1:12" ht="15.75" thickBot="1">
      <c r="B6" s="2"/>
      <c r="C6" s="2"/>
      <c r="D6" s="2"/>
      <c r="E6" s="2"/>
      <c r="F6" s="2"/>
      <c r="G6" s="2"/>
      <c r="H6" s="2"/>
      <c r="I6" s="2"/>
    </row>
    <row r="7" spans="1:12" ht="19.5" customHeight="1" thickBot="1">
      <c r="B7" s="11" t="s">
        <v>0</v>
      </c>
      <c r="C7" s="10" t="s">
        <v>7</v>
      </c>
      <c r="D7" s="10" t="s">
        <v>1</v>
      </c>
      <c r="E7" s="12" t="s">
        <v>2</v>
      </c>
      <c r="F7" s="12" t="s">
        <v>3</v>
      </c>
      <c r="G7" s="12" t="s">
        <v>4</v>
      </c>
      <c r="H7" s="12" t="s">
        <v>6</v>
      </c>
      <c r="I7" s="12" t="s">
        <v>5</v>
      </c>
      <c r="J7" s="12" t="s">
        <v>10</v>
      </c>
      <c r="K7" s="13" t="s">
        <v>11</v>
      </c>
      <c r="L7" s="14" t="s">
        <v>12</v>
      </c>
    </row>
    <row r="8" spans="1:12">
      <c r="A8" s="4"/>
      <c r="B8" s="24">
        <v>1</v>
      </c>
      <c r="C8" s="25" t="s">
        <v>22</v>
      </c>
      <c r="D8" s="26">
        <v>1</v>
      </c>
      <c r="E8" s="27" t="s">
        <v>20</v>
      </c>
      <c r="F8" s="27" t="s">
        <v>19</v>
      </c>
      <c r="G8" s="28" t="s">
        <v>15</v>
      </c>
      <c r="H8" s="27"/>
      <c r="I8" s="29" t="s">
        <v>13</v>
      </c>
      <c r="J8" s="27" t="s">
        <v>16</v>
      </c>
      <c r="K8" s="28" t="s">
        <v>17</v>
      </c>
      <c r="L8" s="30"/>
    </row>
    <row r="9" spans="1:12" ht="33.75">
      <c r="A9" s="4"/>
      <c r="B9" s="31">
        <v>2</v>
      </c>
      <c r="C9" s="32" t="s">
        <v>38</v>
      </c>
      <c r="D9" s="33">
        <v>1</v>
      </c>
      <c r="E9" s="34" t="s">
        <v>94</v>
      </c>
      <c r="F9" s="35" t="s">
        <v>93</v>
      </c>
      <c r="G9" s="34" t="s">
        <v>155</v>
      </c>
      <c r="H9" s="34"/>
      <c r="I9" s="36" t="s">
        <v>37</v>
      </c>
      <c r="J9" s="35" t="s">
        <v>16</v>
      </c>
      <c r="K9" s="34" t="s">
        <v>95</v>
      </c>
      <c r="L9" s="37"/>
    </row>
    <row r="10" spans="1:12">
      <c r="A10" s="4"/>
      <c r="B10" s="31">
        <v>3</v>
      </c>
      <c r="C10" s="32" t="s">
        <v>143</v>
      </c>
      <c r="D10" s="33">
        <v>1</v>
      </c>
      <c r="E10" s="34" t="s">
        <v>146</v>
      </c>
      <c r="F10" s="34" t="s">
        <v>145</v>
      </c>
      <c r="G10" s="86" t="s">
        <v>155</v>
      </c>
      <c r="H10" s="34"/>
      <c r="I10" s="87" t="s">
        <v>144</v>
      </c>
      <c r="J10" s="34" t="s">
        <v>16</v>
      </c>
      <c r="K10" s="86" t="s">
        <v>147</v>
      </c>
      <c r="L10" s="37"/>
    </row>
    <row r="11" spans="1:12">
      <c r="A11" s="4"/>
      <c r="B11" s="38">
        <v>4</v>
      </c>
      <c r="C11" s="39" t="s">
        <v>23</v>
      </c>
      <c r="D11" s="40">
        <v>1</v>
      </c>
      <c r="E11" s="41" t="s">
        <v>164</v>
      </c>
      <c r="F11" s="41" t="s">
        <v>163</v>
      </c>
      <c r="G11" s="42" t="s">
        <v>162</v>
      </c>
      <c r="H11" s="41" t="s">
        <v>21</v>
      </c>
      <c r="I11" s="43" t="s">
        <v>14</v>
      </c>
      <c r="J11" s="41" t="s">
        <v>18</v>
      </c>
      <c r="K11" s="42" t="s">
        <v>165</v>
      </c>
      <c r="L11" s="44"/>
    </row>
    <row r="12" spans="1:12">
      <c r="A12" s="4"/>
      <c r="B12" s="38">
        <v>5</v>
      </c>
      <c r="C12" s="39" t="s">
        <v>42</v>
      </c>
      <c r="D12" s="40">
        <v>1</v>
      </c>
      <c r="E12" s="41" t="s">
        <v>106</v>
      </c>
      <c r="F12" s="41" t="s">
        <v>105</v>
      </c>
      <c r="G12" s="42" t="s">
        <v>104</v>
      </c>
      <c r="H12" s="41" t="s">
        <v>108</v>
      </c>
      <c r="I12" s="43" t="s">
        <v>41</v>
      </c>
      <c r="J12" s="41" t="s">
        <v>18</v>
      </c>
      <c r="K12" s="42" t="s">
        <v>107</v>
      </c>
      <c r="L12" s="44"/>
    </row>
    <row r="13" spans="1:12">
      <c r="A13" s="4"/>
      <c r="B13" s="38">
        <v>6</v>
      </c>
      <c r="C13" s="39" t="s">
        <v>149</v>
      </c>
      <c r="D13" s="40">
        <v>1</v>
      </c>
      <c r="E13" s="41" t="s">
        <v>152</v>
      </c>
      <c r="F13" s="41" t="s">
        <v>151</v>
      </c>
      <c r="G13" s="42" t="s">
        <v>150</v>
      </c>
      <c r="H13" s="41" t="s">
        <v>154</v>
      </c>
      <c r="I13" s="43" t="s">
        <v>148</v>
      </c>
      <c r="J13" s="41" t="s">
        <v>18</v>
      </c>
      <c r="K13" s="42" t="s">
        <v>153</v>
      </c>
      <c r="L13" s="44"/>
    </row>
    <row r="14" spans="1:12" ht="33.75">
      <c r="A14" s="4"/>
      <c r="B14" s="45">
        <v>7</v>
      </c>
      <c r="C14" s="46" t="s">
        <v>24</v>
      </c>
      <c r="D14" s="47">
        <v>1</v>
      </c>
      <c r="E14" s="48" t="s">
        <v>62</v>
      </c>
      <c r="F14" s="48" t="s">
        <v>61</v>
      </c>
      <c r="G14" s="49" t="s">
        <v>60</v>
      </c>
      <c r="H14" s="48" t="s">
        <v>65</v>
      </c>
      <c r="I14" s="50" t="s">
        <v>25</v>
      </c>
      <c r="J14" s="48" t="s">
        <v>63</v>
      </c>
      <c r="K14" s="49" t="s">
        <v>64</v>
      </c>
      <c r="L14" s="51" t="s">
        <v>132</v>
      </c>
    </row>
    <row r="15" spans="1:12">
      <c r="A15" s="4"/>
      <c r="B15" s="52">
        <v>8</v>
      </c>
      <c r="C15" s="53" t="s">
        <v>26</v>
      </c>
      <c r="D15" s="54">
        <v>1</v>
      </c>
      <c r="E15" s="55" t="s">
        <v>68</v>
      </c>
      <c r="F15" s="55" t="s">
        <v>67</v>
      </c>
      <c r="G15" s="56" t="s">
        <v>66</v>
      </c>
      <c r="H15" s="55" t="s">
        <v>71</v>
      </c>
      <c r="I15" s="89" t="s">
        <v>27</v>
      </c>
      <c r="J15" s="55" t="s">
        <v>69</v>
      </c>
      <c r="K15" s="56" t="s">
        <v>70</v>
      </c>
      <c r="L15" s="90"/>
    </row>
    <row r="16" spans="1:12">
      <c r="A16" s="4"/>
      <c r="B16" s="52">
        <v>9</v>
      </c>
      <c r="C16" s="53" t="s">
        <v>166</v>
      </c>
      <c r="D16" s="54">
        <v>1</v>
      </c>
      <c r="E16" s="55" t="s">
        <v>160</v>
      </c>
      <c r="F16" s="55" t="s">
        <v>159</v>
      </c>
      <c r="G16" s="56" t="s">
        <v>150</v>
      </c>
      <c r="H16" s="55" t="s">
        <v>116</v>
      </c>
      <c r="I16" s="89" t="s">
        <v>158</v>
      </c>
      <c r="J16" s="55" t="s">
        <v>69</v>
      </c>
      <c r="K16" s="56" t="s">
        <v>70</v>
      </c>
      <c r="L16" s="90"/>
    </row>
    <row r="17" spans="1:12">
      <c r="A17" s="4"/>
      <c r="B17" s="57">
        <v>10</v>
      </c>
      <c r="C17" s="58" t="s">
        <v>28</v>
      </c>
      <c r="D17" s="59">
        <v>1</v>
      </c>
      <c r="E17" s="60" t="s">
        <v>161</v>
      </c>
      <c r="F17" s="60" t="s">
        <v>73</v>
      </c>
      <c r="G17" s="61" t="s">
        <v>72</v>
      </c>
      <c r="H17" s="60" t="s">
        <v>76</v>
      </c>
      <c r="I17" s="62" t="s">
        <v>29</v>
      </c>
      <c r="J17" s="60" t="s">
        <v>74</v>
      </c>
      <c r="K17" s="61" t="s">
        <v>75</v>
      </c>
      <c r="L17" s="88"/>
    </row>
    <row r="18" spans="1:12">
      <c r="A18" s="4"/>
      <c r="B18" s="63">
        <v>11</v>
      </c>
      <c r="C18" s="64" t="s">
        <v>55</v>
      </c>
      <c r="D18" s="65">
        <v>2</v>
      </c>
      <c r="E18" s="66" t="s">
        <v>125</v>
      </c>
      <c r="F18" s="66" t="s">
        <v>124</v>
      </c>
      <c r="G18" s="67" t="s">
        <v>117</v>
      </c>
      <c r="H18" s="66" t="s">
        <v>84</v>
      </c>
      <c r="I18" s="70" t="s">
        <v>54</v>
      </c>
      <c r="J18" s="66" t="s">
        <v>80</v>
      </c>
      <c r="K18" s="67" t="s">
        <v>81</v>
      </c>
      <c r="L18" s="71" t="s">
        <v>138</v>
      </c>
    </row>
    <row r="19" spans="1:12">
      <c r="A19" s="4"/>
      <c r="B19" s="63">
        <v>12</v>
      </c>
      <c r="C19" s="64" t="s">
        <v>31</v>
      </c>
      <c r="D19" s="65">
        <v>1</v>
      </c>
      <c r="E19" s="66" t="s">
        <v>83</v>
      </c>
      <c r="F19" s="66" t="s">
        <v>82</v>
      </c>
      <c r="G19" s="67" t="s">
        <v>72</v>
      </c>
      <c r="H19" s="66" t="s">
        <v>84</v>
      </c>
      <c r="I19" s="68" t="s">
        <v>32</v>
      </c>
      <c r="J19" s="66" t="s">
        <v>80</v>
      </c>
      <c r="K19" s="67" t="s">
        <v>81</v>
      </c>
      <c r="L19" s="71" t="s">
        <v>134</v>
      </c>
    </row>
    <row r="20" spans="1:12">
      <c r="A20" s="4"/>
      <c r="B20" s="63">
        <v>13</v>
      </c>
      <c r="C20" s="64" t="s">
        <v>50</v>
      </c>
      <c r="D20" s="65">
        <v>1</v>
      </c>
      <c r="E20" s="66" t="s">
        <v>119</v>
      </c>
      <c r="F20" s="66" t="s">
        <v>118</v>
      </c>
      <c r="G20" s="67" t="s">
        <v>117</v>
      </c>
      <c r="H20" s="66" t="s">
        <v>84</v>
      </c>
      <c r="I20" s="68" t="s">
        <v>48</v>
      </c>
      <c r="J20" s="66" t="s">
        <v>80</v>
      </c>
      <c r="K20" s="67" t="s">
        <v>81</v>
      </c>
      <c r="L20" s="71" t="s">
        <v>137</v>
      </c>
    </row>
    <row r="21" spans="1:12">
      <c r="A21" s="4"/>
      <c r="B21" s="63">
        <v>14</v>
      </c>
      <c r="C21" s="64" t="s">
        <v>51</v>
      </c>
      <c r="D21" s="65">
        <v>2</v>
      </c>
      <c r="E21" s="66" t="s">
        <v>121</v>
      </c>
      <c r="F21" s="66" t="s">
        <v>120</v>
      </c>
      <c r="G21" s="67" t="s">
        <v>77</v>
      </c>
      <c r="H21" s="66" t="s">
        <v>76</v>
      </c>
      <c r="I21" s="68" t="s">
        <v>49</v>
      </c>
      <c r="J21" s="66" t="s">
        <v>80</v>
      </c>
      <c r="K21" s="67" t="s">
        <v>81</v>
      </c>
      <c r="L21" s="71" t="s">
        <v>137</v>
      </c>
    </row>
    <row r="22" spans="1:12">
      <c r="A22" s="4"/>
      <c r="B22" s="63">
        <v>15</v>
      </c>
      <c r="C22" s="64" t="s">
        <v>168</v>
      </c>
      <c r="D22" s="65">
        <v>3</v>
      </c>
      <c r="E22" s="66" t="s">
        <v>79</v>
      </c>
      <c r="F22" s="66" t="s">
        <v>78</v>
      </c>
      <c r="G22" s="67" t="s">
        <v>77</v>
      </c>
      <c r="H22" s="66" t="s">
        <v>76</v>
      </c>
      <c r="I22" s="68" t="s">
        <v>30</v>
      </c>
      <c r="J22" s="66" t="s">
        <v>80</v>
      </c>
      <c r="K22" s="67" t="s">
        <v>81</v>
      </c>
      <c r="L22" s="71" t="s">
        <v>133</v>
      </c>
    </row>
    <row r="23" spans="1:12">
      <c r="A23" s="4"/>
      <c r="B23" s="63">
        <v>16</v>
      </c>
      <c r="C23" s="64" t="s">
        <v>45</v>
      </c>
      <c r="D23" s="65">
        <v>2</v>
      </c>
      <c r="E23" s="66" t="s">
        <v>112</v>
      </c>
      <c r="F23" s="66" t="s">
        <v>111</v>
      </c>
      <c r="G23" s="67" t="s">
        <v>85</v>
      </c>
      <c r="H23" s="66" t="s">
        <v>76</v>
      </c>
      <c r="I23" s="68" t="s">
        <v>44</v>
      </c>
      <c r="J23" s="66" t="s">
        <v>80</v>
      </c>
      <c r="K23" s="67" t="s">
        <v>81</v>
      </c>
      <c r="L23" s="71" t="s">
        <v>136</v>
      </c>
    </row>
    <row r="24" spans="1:12" ht="25.5">
      <c r="A24" s="4"/>
      <c r="B24" s="63">
        <v>17</v>
      </c>
      <c r="C24" s="64" t="s">
        <v>176</v>
      </c>
      <c r="D24" s="65">
        <v>14</v>
      </c>
      <c r="E24" s="66" t="s">
        <v>110</v>
      </c>
      <c r="F24" s="66" t="s">
        <v>109</v>
      </c>
      <c r="G24" s="67" t="s">
        <v>72</v>
      </c>
      <c r="H24" s="66" t="s">
        <v>76</v>
      </c>
      <c r="I24" s="68" t="s">
        <v>43</v>
      </c>
      <c r="J24" s="66" t="s">
        <v>80</v>
      </c>
      <c r="K24" s="67" t="s">
        <v>81</v>
      </c>
      <c r="L24" s="71" t="s">
        <v>167</v>
      </c>
    </row>
    <row r="25" spans="1:12">
      <c r="A25" s="4"/>
      <c r="B25" s="63">
        <v>18</v>
      </c>
      <c r="C25" s="64" t="s">
        <v>33</v>
      </c>
      <c r="D25" s="65">
        <v>2</v>
      </c>
      <c r="E25" s="66" t="s">
        <v>87</v>
      </c>
      <c r="F25" s="66" t="s">
        <v>86</v>
      </c>
      <c r="G25" s="67" t="s">
        <v>85</v>
      </c>
      <c r="H25" s="66" t="s">
        <v>76</v>
      </c>
      <c r="I25" s="68" t="s">
        <v>34</v>
      </c>
      <c r="J25" s="66" t="s">
        <v>80</v>
      </c>
      <c r="K25" s="67" t="s">
        <v>81</v>
      </c>
      <c r="L25" s="69" t="s">
        <v>135</v>
      </c>
    </row>
    <row r="26" spans="1:12">
      <c r="A26" s="4"/>
      <c r="B26" s="72">
        <v>19</v>
      </c>
      <c r="C26" s="73" t="s">
        <v>53</v>
      </c>
      <c r="D26" s="74">
        <v>1</v>
      </c>
      <c r="E26" s="75" t="s">
        <v>123</v>
      </c>
      <c r="F26" s="75" t="s">
        <v>122</v>
      </c>
      <c r="G26" s="76" t="s">
        <v>88</v>
      </c>
      <c r="H26" s="75">
        <v>603</v>
      </c>
      <c r="I26" s="77" t="s">
        <v>52</v>
      </c>
      <c r="J26" s="75" t="s">
        <v>91</v>
      </c>
      <c r="K26" s="76" t="s">
        <v>92</v>
      </c>
      <c r="L26" s="78" t="s">
        <v>140</v>
      </c>
    </row>
    <row r="27" spans="1:12">
      <c r="A27" s="4"/>
      <c r="B27" s="72">
        <v>20</v>
      </c>
      <c r="C27" s="73" t="s">
        <v>180</v>
      </c>
      <c r="D27" s="74">
        <v>4</v>
      </c>
      <c r="E27" s="75" t="s">
        <v>97</v>
      </c>
      <c r="F27" s="75" t="s">
        <v>96</v>
      </c>
      <c r="G27" s="76" t="s">
        <v>88</v>
      </c>
      <c r="H27" s="75">
        <v>603</v>
      </c>
      <c r="I27" s="77" t="s">
        <v>39</v>
      </c>
      <c r="J27" s="75" t="s">
        <v>91</v>
      </c>
      <c r="K27" s="76" t="s">
        <v>92</v>
      </c>
      <c r="L27" s="78" t="s">
        <v>139</v>
      </c>
    </row>
    <row r="28" spans="1:12">
      <c r="A28" s="4"/>
      <c r="B28" s="72">
        <v>22</v>
      </c>
      <c r="C28" s="73" t="s">
        <v>35</v>
      </c>
      <c r="D28" s="74">
        <v>2</v>
      </c>
      <c r="E28" s="75" t="s">
        <v>90</v>
      </c>
      <c r="F28" s="75" t="s">
        <v>89</v>
      </c>
      <c r="G28" s="76" t="s">
        <v>88</v>
      </c>
      <c r="H28" s="75">
        <v>603</v>
      </c>
      <c r="I28" s="77" t="s">
        <v>36</v>
      </c>
      <c r="J28" s="75" t="s">
        <v>91</v>
      </c>
      <c r="K28" s="76" t="s">
        <v>92</v>
      </c>
      <c r="L28" s="78">
        <v>22</v>
      </c>
    </row>
    <row r="29" spans="1:12">
      <c r="A29" s="4"/>
      <c r="B29" s="72">
        <v>23</v>
      </c>
      <c r="C29" s="73" t="s">
        <v>57</v>
      </c>
      <c r="D29" s="74">
        <v>1</v>
      </c>
      <c r="E29" s="75" t="s">
        <v>128</v>
      </c>
      <c r="F29" s="75" t="s">
        <v>127</v>
      </c>
      <c r="G29" s="76" t="s">
        <v>126</v>
      </c>
      <c r="H29" s="75">
        <v>603</v>
      </c>
      <c r="I29" s="91" t="s">
        <v>56</v>
      </c>
      <c r="J29" s="75" t="s">
        <v>91</v>
      </c>
      <c r="K29" s="76" t="s">
        <v>129</v>
      </c>
      <c r="L29" s="78" t="s">
        <v>141</v>
      </c>
    </row>
    <row r="30" spans="1:12">
      <c r="A30" s="4"/>
      <c r="B30" s="72">
        <v>24</v>
      </c>
      <c r="C30" s="73" t="s">
        <v>59</v>
      </c>
      <c r="D30" s="74">
        <v>1</v>
      </c>
      <c r="E30" s="75" t="s">
        <v>131</v>
      </c>
      <c r="F30" s="75" t="s">
        <v>130</v>
      </c>
      <c r="G30" s="76" t="s">
        <v>126</v>
      </c>
      <c r="H30" s="75">
        <v>603</v>
      </c>
      <c r="I30" s="91" t="s">
        <v>58</v>
      </c>
      <c r="J30" s="75" t="s">
        <v>91</v>
      </c>
      <c r="K30" s="76" t="s">
        <v>129</v>
      </c>
      <c r="L30" s="78" t="s">
        <v>142</v>
      </c>
    </row>
    <row r="31" spans="1:12">
      <c r="A31" s="4"/>
      <c r="B31" s="79">
        <v>25</v>
      </c>
      <c r="C31" s="80" t="s">
        <v>181</v>
      </c>
      <c r="D31" s="81">
        <v>1</v>
      </c>
      <c r="E31" s="82" t="s">
        <v>100</v>
      </c>
      <c r="F31" s="82" t="s">
        <v>99</v>
      </c>
      <c r="G31" s="83" t="s">
        <v>98</v>
      </c>
      <c r="H31" s="82" t="s">
        <v>103</v>
      </c>
      <c r="I31" s="85" t="s">
        <v>40</v>
      </c>
      <c r="J31" s="82" t="s">
        <v>101</v>
      </c>
      <c r="K31" s="83" t="s">
        <v>102</v>
      </c>
      <c r="L31" s="84"/>
    </row>
    <row r="32" spans="1:12">
      <c r="A32" s="4"/>
      <c r="B32" s="79">
        <v>26</v>
      </c>
      <c r="C32" s="80" t="s">
        <v>47</v>
      </c>
      <c r="D32" s="81">
        <v>2</v>
      </c>
      <c r="E32" s="82" t="s">
        <v>115</v>
      </c>
      <c r="F32" s="82" t="s">
        <v>114</v>
      </c>
      <c r="G32" s="83" t="s">
        <v>113</v>
      </c>
      <c r="H32" s="82" t="s">
        <v>116</v>
      </c>
      <c r="I32" s="85" t="s">
        <v>46</v>
      </c>
      <c r="J32" s="82" t="s">
        <v>101</v>
      </c>
      <c r="K32" s="83" t="s">
        <v>102</v>
      </c>
      <c r="L32" s="84"/>
    </row>
    <row r="33" spans="1:12">
      <c r="A33" s="4"/>
      <c r="B33" s="99">
        <v>28</v>
      </c>
      <c r="C33" s="100" t="s">
        <v>170</v>
      </c>
      <c r="D33" s="101">
        <v>1</v>
      </c>
      <c r="E33" s="102" t="s">
        <v>172</v>
      </c>
      <c r="F33" s="102" t="s">
        <v>171</v>
      </c>
      <c r="G33" s="103" t="s">
        <v>150</v>
      </c>
      <c r="H33" s="102" t="s">
        <v>175</v>
      </c>
      <c r="I33" s="104" t="s">
        <v>169</v>
      </c>
      <c r="J33" s="102" t="s">
        <v>173</v>
      </c>
      <c r="K33" s="103" t="s">
        <v>174</v>
      </c>
      <c r="L33" s="105"/>
    </row>
    <row r="34" spans="1:12" ht="25.5">
      <c r="A34" s="4"/>
      <c r="B34" s="17"/>
      <c r="C34" s="18" t="s">
        <v>182</v>
      </c>
      <c r="D34" s="19">
        <v>10</v>
      </c>
      <c r="E34" s="20" t="s">
        <v>179</v>
      </c>
      <c r="F34" s="20" t="s">
        <v>179</v>
      </c>
      <c r="G34" s="21" t="s">
        <v>179</v>
      </c>
      <c r="H34" s="20"/>
      <c r="I34" s="22"/>
      <c r="J34" s="20"/>
      <c r="K34" s="21"/>
      <c r="L34" s="23"/>
    </row>
    <row r="35" spans="1:12" ht="15" customHeight="1">
      <c r="A35" s="4"/>
      <c r="B35" s="92"/>
      <c r="C35" s="93" t="s">
        <v>177</v>
      </c>
      <c r="D35" s="94"/>
      <c r="E35" s="95" t="s">
        <v>156</v>
      </c>
      <c r="F35" s="95"/>
      <c r="G35" s="96" t="s">
        <v>178</v>
      </c>
      <c r="H35" s="95"/>
      <c r="I35" s="97" t="s">
        <v>157</v>
      </c>
      <c r="J35" s="95"/>
      <c r="K35" s="96"/>
      <c r="L35" s="98"/>
    </row>
    <row r="36" spans="1:12" ht="15.75" thickBot="1">
      <c r="A36" s="4"/>
      <c r="B36" s="6"/>
      <c r="C36" s="15" t="s">
        <v>8</v>
      </c>
      <c r="D36" s="16">
        <f>SUM(D8:D35)</f>
        <v>60</v>
      </c>
      <c r="E36" s="5"/>
      <c r="F36" s="5"/>
      <c r="G36" s="5"/>
      <c r="H36" s="5"/>
      <c r="I36" s="7"/>
      <c r="J36" s="8"/>
      <c r="K36" s="8"/>
      <c r="L36" s="9"/>
    </row>
    <row r="37" spans="1:12">
      <c r="F37" s="3"/>
    </row>
  </sheetData>
  <mergeCells count="1">
    <mergeCell ref="B2:I2"/>
  </mergeCells>
  <hyperlinks>
    <hyperlink ref="I8" r:id="rId1"/>
    <hyperlink ref="I9" r:id="rId2"/>
    <hyperlink ref="I21" r:id="rId3" display="http://www.digikey.com/product-detail/en/EMK107B7105KA-T/587-1241-1-ND/931018"/>
    <hyperlink ref="I27" r:id="rId4" display="http://www.digikey.com/product-detail/en/ERJ-3EKF22R0V/P22.0HCT-ND/1746745"/>
    <hyperlink ref="I25" r:id="rId5" display="http://www.digikey.com/product-detail/en/ERJ-3EKF9103V/P910KHCT-ND/1746814"/>
    <hyperlink ref="I19" r:id="rId6" display="http://www.digikey.com/product-detail/en/EMK107ABJ475KA-T/587-2786-1-ND/2573980"/>
    <hyperlink ref="I30" r:id="rId7" display="http://www.digikey.com/product-detail/en/AO3401A/785-1001-1-ND/1855943"/>
    <hyperlink ref="I10" r:id="rId8"/>
    <hyperlink ref="I11" r:id="rId9"/>
    <hyperlink ref="I12" r:id="rId10"/>
    <hyperlink ref="I13" r:id="rId11" display="http://www.digikey.com/product-detail/en/NX3225SA-16.000000MHZ-STD-CSR-1/644-1049-1-ND/1128921"/>
    <hyperlink ref="I14" r:id="rId12" display="http://www.digikey.com/product-detail/en/IP4234CZ6,125/568-5869-1-ND/2531156"/>
    <hyperlink ref="I15" r:id="rId13" display="http://www.digikey.com/product-detail/en/BLM18KG601SN1D/490-5258-1-ND/1982781"/>
    <hyperlink ref="I17" r:id="rId14" display="http://www.digikey.com/product-detail/en/CL31A226KAHNNNE/1276-3047-1-ND/3891133"/>
    <hyperlink ref="I18" r:id="rId15" display="http://www.digikey.com/product-detail/en/GRM31CR61E106KA12L/490-3373-1-ND/702914"/>
    <hyperlink ref="I20" r:id="rId16"/>
    <hyperlink ref="I22" r:id="rId17" display="http://www.digikey.com/product-detail/en/C1608X7R1C224K080AC/445-1318-1-ND/567690"/>
    <hyperlink ref="I23" r:id="rId18" display="http://www.digikey.com/product-detail/en/GRM188R71H104KA93D/490-1519-1-ND/587854"/>
    <hyperlink ref="I24" r:id="rId19" display="http://www.digikey.com/product-detail/en/C1608C0G1H180J080AA/445-1272-1-ND/567674"/>
    <hyperlink ref="I26" r:id="rId20" display="http://www.digikey.com/product-detail/en/ERJ-3EKF1002V/P10.0KHCT-ND/198102"/>
    <hyperlink ref="I28" r:id="rId21" display="http://www.digikey.com/product-detail/en/742C163222JP/742C163222JPCT-ND/1124507"/>
    <hyperlink ref="I29" r:id="rId22" display="http://www.digikey.com/product-detail/en/2N7002ET1G/2N7002ET1GOSCT-ND/1967029"/>
    <hyperlink ref="I31" r:id="rId23" display="http://www.digikey.com/product-detail/en/ST662ACD-TR/497-6542-1-ND/1865353"/>
    <hyperlink ref="I35" r:id="rId24"/>
    <hyperlink ref="I16" r:id="rId25"/>
    <hyperlink ref="I32" r:id="rId26" display="http://www.digikey.com/product-detail/en/lite-on-inc/LTST-S220TBKT/160-2032-1-ND/3711395"/>
    <hyperlink ref="I33" r:id="rId27"/>
  </hyperlinks>
  <pageMargins left="0.7" right="0.7" top="0.75" bottom="0.75" header="0.3" footer="0.3"/>
  <pageSetup paperSize="9" scale="49" orientation="landscape" r:id="rId28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limpkin</cp:lastModifiedBy>
  <cp:lastPrinted>2012-07-30T12:19:09Z</cp:lastPrinted>
  <dcterms:created xsi:type="dcterms:W3CDTF">2008-02-20T11:26:06Z</dcterms:created>
  <dcterms:modified xsi:type="dcterms:W3CDTF">2016-08-08T18:41:58Z</dcterms:modified>
</cp:coreProperties>
</file>