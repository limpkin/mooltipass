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7.xml" ContentType="application/vnd.ms-excel.control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D38" i="1"/>
</calcChain>
</file>

<file path=xl/sharedStrings.xml><?xml version="1.0" encoding="utf-8"?>
<sst xmlns="http://schemas.openxmlformats.org/spreadsheetml/2006/main" count="246" uniqueCount="194">
  <si>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</si>
  <si>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</si>
  <si>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</si>
  <si>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</si>
  <si>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</si>
  <si>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</si>
  <si>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</si>
  <si>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</si>
  <si>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Total:</t>
  </si>
  <si>
    <t>Home Stock</t>
  </si>
  <si>
    <t>Digikey Stock</t>
  </si>
  <si>
    <t>Project Bill Of Materials</t>
  </si>
  <si>
    <t>Category</t>
  </si>
  <si>
    <t>Family</t>
  </si>
  <si>
    <t>(Value)</t>
  </si>
  <si>
    <t>http://www.digikey.com/product-detail/en/5145300-3/A117663-ND/4731128</t>
  </si>
  <si>
    <t>http://www.digikey.com/product-detail/en/ATMEGA32U4-MU/ATMEGA32U4-MU-ND/1914603</t>
  </si>
  <si>
    <t>TE Connectivity AMP Connectors</t>
  </si>
  <si>
    <t>Connectors, Interconnects</t>
  </si>
  <si>
    <t>Memory Connectors - PC Card Sockets</t>
  </si>
  <si>
    <t>Integrated Circuits (ICs)</t>
  </si>
  <si>
    <t>5145300-3</t>
  </si>
  <si>
    <t>SMT CARD RCPT,8 POS, W/ COVER</t>
  </si>
  <si>
    <t>44-QFN (7x7)</t>
  </si>
  <si>
    <t>U4</t>
  </si>
  <si>
    <t>U6</t>
  </si>
  <si>
    <t>X1</t>
  </si>
  <si>
    <t>http://www.digikey.com/product-detail/en/NX3225SA-16.000000MHZ-STD-CSR-1/644-1049-1-ND/1128921</t>
  </si>
  <si>
    <t>U1</t>
  </si>
  <si>
    <t>http://www.digikey.com/product-detail/en/IP4234CZ6,125/568-5869-1-ND/2531156</t>
  </si>
  <si>
    <t>FB1</t>
  </si>
  <si>
    <t>http://www.digikey.com/product-detail/en/BLM18KG601SN1D/490-5258-1-ND/1982781</t>
  </si>
  <si>
    <t>http://www.digikey.com/product-detail/en/EMK107B7105KA-T/587-1241-1-ND/931018</t>
  </si>
  <si>
    <t>C9</t>
  </si>
  <si>
    <t>http://www.digikey.com/product-detail/en/GRM31CR61E106KA12L/490-3373-1-ND/702914</t>
  </si>
  <si>
    <t>C23 C24</t>
  </si>
  <si>
    <t>http://www.digikey.com/product-detail/en/C1608C0G1H180J080AA/445-1272-1-ND/567674</t>
  </si>
  <si>
    <t>R7 R8</t>
  </si>
  <si>
    <t>http://www.digikey.com/product-detail/en/ERJ-3EKF22R0V/P22.0HCT-ND/1746745</t>
  </si>
  <si>
    <t>http://www.digikey.com/product-detail/en/10118194-0001LF/609-4618-1-ND/2785382</t>
  </si>
  <si>
    <t>CON1</t>
  </si>
  <si>
    <t>http://www.digikey.com/product-detail/en/ERJ-3EKF1002V/P10.0KHCT-ND/198102</t>
  </si>
  <si>
    <t>http://www.digikey.com/product-detail/en/2N7002ET1G/2N7002ET1GOSCT-ND/1967029</t>
  </si>
  <si>
    <t>http://www.digikey.com/product-detail/en/AT45DB041E-SHN-T/AT45DB041E-SHN-TCT-ND/4311895</t>
  </si>
  <si>
    <t>U5</t>
  </si>
  <si>
    <t>http://www.digikey.com/product-detail/en/GRM188R71H104KA93D/490-1519-1-ND/587854</t>
  </si>
  <si>
    <t>http://www.digikey.com/product-detail/en/C1608X7R1C224K080AC/445-1318-1-ND/567690</t>
  </si>
  <si>
    <t>C6 C7</t>
  </si>
  <si>
    <t>http://www.digikey.com/product-detail/en/AO3401A/785-1001-1-ND/1855943</t>
  </si>
  <si>
    <t>Q1 Q3</t>
  </si>
  <si>
    <t>http://www.digikey.com/product-detail/en/CL31B475KAHNNNE/1276-1055-1-ND/3889141</t>
  </si>
  <si>
    <t>http://www.digikey.com/product-detail/en/EMK107ABJ475KA-T/587-2786-1-ND/2573980</t>
  </si>
  <si>
    <t>C19</t>
  </si>
  <si>
    <t>C3 C5</t>
  </si>
  <si>
    <t>http://www.digikey.com/product-detail/en/ERJ-3EKF9103V/P910KHCT-ND/1746814</t>
  </si>
  <si>
    <t>R2</t>
  </si>
  <si>
    <t>http://www.digikey.com/product-detail/en/CL31A226KAHNNNE/1276-3047-1-ND/3891133</t>
  </si>
  <si>
    <t>C16 C17</t>
  </si>
  <si>
    <t>http://www.digikey.com/product-detail/en/742C163472JP/742C163472JPCT-ND/1124497</t>
  </si>
  <si>
    <t>R4</t>
  </si>
  <si>
    <t>http://www.digikey.com/product-detail/en/742C163222JP/742C163222JPCT-ND/1124507</t>
  </si>
  <si>
    <t>R3</t>
  </si>
  <si>
    <t>NDK</t>
  </si>
  <si>
    <t>NX3225SA-16.000MHZ-STD-CSR-1</t>
  </si>
  <si>
    <t>16MHz ±15ppm Crystal 8pF 80 Ohm -10°C ~ 75°C  Surface Mount 4-SMD, No Lead (DFN, LCC)</t>
  </si>
  <si>
    <t>Crystals and Oscillators</t>
  </si>
  <si>
    <t>Crystals</t>
  </si>
  <si>
    <t>4-SMD, No Lead (DFN, LCC)</t>
  </si>
  <si>
    <t>NXP Semiconductors</t>
  </si>
  <si>
    <t>IP4234CZ6,125</t>
  </si>
  <si>
    <t>TVS DIODE 5.5VWM 6TSOP</t>
  </si>
  <si>
    <t>Circuit Protection</t>
  </si>
  <si>
    <t>TVS - Diodes</t>
  </si>
  <si>
    <t>6-TSOP</t>
  </si>
  <si>
    <t>Murata Electronics North America</t>
  </si>
  <si>
    <t>BLM18KG601SN1D</t>
  </si>
  <si>
    <t>Filters</t>
  </si>
  <si>
    <t>Ferrite Beads and Chips</t>
  </si>
  <si>
    <t>0603 (1608 Metric)</t>
  </si>
  <si>
    <t>Taiyo Yuden</t>
  </si>
  <si>
    <t>EMK107B7105KA-T</t>
  </si>
  <si>
    <t>CAP CER 1UF 16V X7R 0603</t>
  </si>
  <si>
    <t>Capacitors</t>
  </si>
  <si>
    <t>Ceramic Capacitors</t>
  </si>
  <si>
    <t>GRM31CR61E106KA12L</t>
  </si>
  <si>
    <t>CAP CER 10UF 25V X5R 1206</t>
  </si>
  <si>
    <t>1206 (3216 Metric)</t>
  </si>
  <si>
    <t>TDK Corporation</t>
  </si>
  <si>
    <t>C1608C0G1H180J080AA</t>
  </si>
  <si>
    <t>CAP CER 18PF 50V C0G 0603</t>
  </si>
  <si>
    <t>Panasonic Electronic Components</t>
  </si>
  <si>
    <t>ERJ-3EKF22R0V</t>
  </si>
  <si>
    <t>RES SMD 22 OHM 1% 1/10W 0603</t>
  </si>
  <si>
    <t>Resistors</t>
  </si>
  <si>
    <t>Chip Resistor - Surface Mount</t>
  </si>
  <si>
    <t>10118194-0001LF</t>
  </si>
  <si>
    <t>USB - micro B USB 2.0 Receptacle Connector 5 Position Surface Mount, Right Angle, Horizontal</t>
  </si>
  <si>
    <t>USB, DVI, HDMI Connectors</t>
  </si>
  <si>
    <t>ERJ-3EKF1002V</t>
  </si>
  <si>
    <t>RES SMD 10K OHM 1% 1/10W 0603</t>
  </si>
  <si>
    <t>ON Semiconductor</t>
  </si>
  <si>
    <t>2N7002ET1G</t>
  </si>
  <si>
    <t>MOSFET N-CH 60V 260MA SOT-23</t>
  </si>
  <si>
    <t>Discrete Semiconductor Products</t>
  </si>
  <si>
    <t>FETs - Single</t>
  </si>
  <si>
    <t>SOT-23-3 (TO-236)</t>
  </si>
  <si>
    <t>Adesto Technologies</t>
  </si>
  <si>
    <t>AT45DB041E-SHN-T</t>
  </si>
  <si>
    <t>IC FLASH 4MBIT 85MHZ 8SOIC</t>
  </si>
  <si>
    <t>Memory</t>
  </si>
  <si>
    <t>8-SOIC</t>
  </si>
  <si>
    <t>GRM188R71H104KA93D</t>
  </si>
  <si>
    <t>CAP CER 0.1UF 50V X7R 0603</t>
  </si>
  <si>
    <t>C1608X7R1C224K080AC</t>
  </si>
  <si>
    <t>CAP CER 0.22UF 16V X7R 0603</t>
  </si>
  <si>
    <t>Alpha &amp;amp; Omega Semiconductor Inc.</t>
  </si>
  <si>
    <t>AO3401A</t>
  </si>
  <si>
    <t>MOSFET P-CH 30V 4A SOT23</t>
  </si>
  <si>
    <t>SOT-23-3</t>
  </si>
  <si>
    <t>Samsung Electro-Mechanics America, Inc.</t>
  </si>
  <si>
    <t>CL31B475KAHNNNE</t>
  </si>
  <si>
    <t>CAP CER 4.7UF 25V X7R 1206</t>
  </si>
  <si>
    <t>EMK107ABJ475KA-T</t>
  </si>
  <si>
    <t>CAP CER 4.7UF 16V X5R 0603</t>
  </si>
  <si>
    <t>ERJ-3EKF9103V</t>
  </si>
  <si>
    <t>RES SMD 910K OHM 1% 1/10W 0603</t>
  </si>
  <si>
    <t>CL31A226KAHNNNE</t>
  </si>
  <si>
    <t>CAP CER 22UF 25V X5R 1206</t>
  </si>
  <si>
    <t>CTS Resistor Products</t>
  </si>
  <si>
    <t>742C163472JP</t>
  </si>
  <si>
    <t>RES ARRAY 8 RES 4.7K OHM 2506</t>
  </si>
  <si>
    <t>Resistor Networks, Arrays</t>
  </si>
  <si>
    <t>742C163222JP</t>
  </si>
  <si>
    <t>RES ARRAY 8 RES 2.2K OHM 2506</t>
  </si>
  <si>
    <t>8pF</t>
  </si>
  <si>
    <t>1µF</t>
  </si>
  <si>
    <t>10µF</t>
  </si>
  <si>
    <t>18pF</t>
  </si>
  <si>
    <t>0.22µF</t>
  </si>
  <si>
    <t>4.7µF</t>
  </si>
  <si>
    <t>22µF</t>
  </si>
  <si>
    <t>10k</t>
  </si>
  <si>
    <t>910k</t>
  </si>
  <si>
    <t>4.7k</t>
  </si>
  <si>
    <t>2.2k</t>
  </si>
  <si>
    <t>U3</t>
  </si>
  <si>
    <t>http://www.digikey.com/product-detail/en/SFV24R-2STE1HLF/609-4321-1-ND/2626772</t>
  </si>
  <si>
    <t>SFV24R-2STE1HLF</t>
  </si>
  <si>
    <t>CONN FFC TOP 24POS 0.50MM R/A</t>
  </si>
  <si>
    <t>FFC, FPC (Flat Flexible) Connectors</t>
  </si>
  <si>
    <t>http://www.digikey.com/product-detail/en/ST662ACD-TR/497-6542-1-ND/1865353</t>
  </si>
  <si>
    <t>U2</t>
  </si>
  <si>
    <t>STMicroelectronics</t>
  </si>
  <si>
    <t>ST662ACD-TR</t>
  </si>
  <si>
    <t>IC REG SWTCHD CAP 12V 30MA 8SOIC</t>
  </si>
  <si>
    <t>PMIC - Voltage Regulators - DC DC Switching Regulators</t>
  </si>
  <si>
    <t>8-SO</t>
  </si>
  <si>
    <t>Amphenol FCI</t>
  </si>
  <si>
    <t>PUSH BUTTON TACT WITCH TS-005</t>
  </si>
  <si>
    <t>http://www.alibaba.com/product-detail/Push-button-tact-switch-TS-005_60325412854.html</t>
  </si>
  <si>
    <t>http://www.digikey.com/product-detail/en/stmicroelectronics/ESDA6V1L/497-2930-1-ND/634875</t>
  </si>
  <si>
    <t>ESDA6V1L</t>
  </si>
  <si>
    <t>TVS DIODE 5.25VWM SOT23</t>
  </si>
  <si>
    <t>FERRITE BEAD 600 OHM 0603 1LN</t>
  </si>
  <si>
    <t>Atmel</t>
  </si>
  <si>
    <t>ATMEGA32U4-MU</t>
  </si>
  <si>
    <t>IC MCU 8BIT 32KB FLASH 44QFN</t>
  </si>
  <si>
    <t>Embedded - Microcontrollers</t>
  </si>
  <si>
    <t>D1</t>
  </si>
  <si>
    <t>Q2 Q4</t>
  </si>
  <si>
    <t>D2 D3 D4 D5</t>
  </si>
  <si>
    <t>http://www.digikey.com/product-detail/en/lite-on-inc/LTST-S220TBKT/160-2032-1-ND/3711395</t>
  </si>
  <si>
    <t>R9 R10 R11 R12</t>
  </si>
  <si>
    <t>http://www.digikey.com/product-detail/en/panasonic-electronic-components/ERJ-3EKF91R0V/P91.0HCT-ND/1746815</t>
  </si>
  <si>
    <t>0.10µF</t>
  </si>
  <si>
    <t>Lite-On Inc.</t>
  </si>
  <si>
    <t>LTST-S220TBKT</t>
  </si>
  <si>
    <t>LED BLUE CLEAR 2SMD R/A</t>
  </si>
  <si>
    <t>Optoelectronics</t>
  </si>
  <si>
    <t>LED Indication - Discrete</t>
  </si>
  <si>
    <t>SMD</t>
  </si>
  <si>
    <t>ERJ-3EKF91R0V</t>
  </si>
  <si>
    <t>RES SMD 91 OHM 1% 1/10W 0603</t>
  </si>
  <si>
    <t>C8 C25 C26</t>
  </si>
  <si>
    <t>http://www.digikey.com/product-detail/en/stmicroelectronics/LIS2HH12TR/497-15069-1-ND/5043075</t>
  </si>
  <si>
    <t>U7</t>
  </si>
  <si>
    <t>LIS2HH12TR</t>
  </si>
  <si>
    <t>ACCELEROMETER MEMS 3AXIS 12VFLGA</t>
  </si>
  <si>
    <t>Sensors, Transducers</t>
  </si>
  <si>
    <t>Accelerometers</t>
  </si>
  <si>
    <t>12-LGA (2x2)</t>
  </si>
  <si>
    <t>C20 C1 C4 C21 C22 C10 C11 C12 C13 C14 C15 C18 C2 C27</t>
  </si>
  <si>
    <t>U8</t>
  </si>
  <si>
    <t>R1 R5 R6 R13 R14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</si>
</sst>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9"/>
      <color theme="4"/>
      <name val="Arial"/>
      <family val="2"/>
    </font>
    <font>
      <sz val="22"/>
      <color theme="1"/>
      <name val="Calibri"/>
      <family val="2"/>
      <scheme val="minor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33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7" fillId="2" borderId="3" xfId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6" fillId="2" borderId="6" xfId="1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/>
    </xf>
    <xf numFmtId="0" fontId="8" fillId="2" borderId="3" xfId="2" applyFont="1" applyFill="1" applyBorder="1" applyAlignment="1" applyProtection="1">
      <alignment horizontal="center"/>
    </xf>
    <xf numFmtId="0" fontId="0" fillId="0" borderId="3" xfId="0" applyBorder="1"/>
    <xf numFmtId="0" fontId="0" fillId="0" borderId="4" xfId="0" applyBorder="1"/>
    <xf numFmtId="0" fontId="3" fillId="0" borderId="9" xfId="1" applyFont="1" applyBorder="1" applyAlignment="1">
      <alignment horizontal="center" vertical="center" wrapText="1"/>
    </xf>
    <xf numFmtId="0" fontId="3" fillId="0" borderId="14" xfId="1" applyFont="1" applyBorder="1" applyAlignment="1">
      <alignment horizontal="center" vertical="center" wrapText="1"/>
    </xf>
    <xf numFmtId="0" fontId="3" fillId="0" borderId="15" xfId="1" applyFont="1" applyBorder="1" applyAlignment="1">
      <alignment horizontal="center" vertical="center" wrapText="1"/>
    </xf>
    <xf numFmtId="0" fontId="3" fillId="0" borderId="16" xfId="1" applyFont="1" applyBorder="1" applyAlignment="1">
      <alignment horizontal="center" vertical="center" wrapText="1"/>
    </xf>
    <xf numFmtId="0" fontId="3" fillId="0" borderId="17" xfId="1" applyFont="1" applyBorder="1" applyAlignment="1">
      <alignment horizontal="center" vertical="center" wrapText="1"/>
    </xf>
    <xf numFmtId="0" fontId="12" fillId="2" borderId="12" xfId="1" applyFont="1" applyFill="1" applyBorder="1" applyAlignment="1">
      <alignment horizontal="center" vertical="center" wrapText="1"/>
    </xf>
    <xf numFmtId="0" fontId="13" fillId="2" borderId="6" xfId="0" applyFont="1" applyFill="1" applyBorder="1" applyAlignment="1">
      <alignment horizontal="center"/>
    </xf>
    <xf numFmtId="0" fontId="3" fillId="2" borderId="5" xfId="1" applyFont="1" applyFill="1" applyBorder="1" applyAlignment="1">
      <alignment horizontal="center" vertical="center" wrapText="1"/>
    </xf>
    <xf numFmtId="0" fontId="3" fillId="2" borderId="11" xfId="1" applyFont="1" applyFill="1" applyBorder="1" applyAlignment="1">
      <alignment horizontal="center" vertical="center" wrapText="1"/>
    </xf>
    <xf numFmtId="0" fontId="11" fillId="2" borderId="5" xfId="1" applyFont="1" applyFill="1" applyBorder="1" applyAlignment="1">
      <alignment horizontal="center"/>
    </xf>
    <xf numFmtId="0" fontId="11" fillId="2" borderId="1" xfId="1" applyFont="1" applyFill="1" applyBorder="1" applyAlignment="1">
      <alignment horizontal="center"/>
    </xf>
    <xf numFmtId="3" fontId="11" fillId="2" borderId="1" xfId="1" applyNumberFormat="1" applyFont="1" applyFill="1" applyBorder="1" applyAlignment="1">
      <alignment horizontal="center" wrapText="1"/>
    </xf>
    <xf numFmtId="0" fontId="11" fillId="2" borderId="1" xfId="1" applyFont="1" applyFill="1" applyBorder="1" applyAlignment="1">
      <alignment horizontal="center" vertical="center" wrapText="1"/>
    </xf>
    <xf numFmtId="0" fontId="11" fillId="2" borderId="1" xfId="1" applyFont="1" applyFill="1" applyBorder="1" applyAlignment="1">
      <alignment horizontal="center" vertical="center"/>
    </xf>
    <xf numFmtId="0" fontId="4" fillId="2" borderId="1" xfId="2" applyFill="1" applyBorder="1" applyAlignment="1" applyProtection="1">
      <alignment horizontal="center"/>
    </xf>
    <xf numFmtId="0" fontId="11" fillId="2" borderId="2" xfId="1" applyFont="1" applyFill="1" applyBorder="1" applyAlignment="1">
      <alignment horizontal="center" vertical="center"/>
    </xf>
    <xf numFmtId="0" fontId="3" fillId="3" borderId="13" xfId="1" applyFont="1" applyFill="1" applyBorder="1" applyAlignment="1">
      <alignment horizontal="center" vertical="center" wrapText="1"/>
    </xf>
    <xf numFmtId="0" fontId="3" fillId="3" borderId="10" xfId="1" applyFont="1" applyFill="1" applyBorder="1" applyAlignment="1">
      <alignment horizontal="center" vertical="center" wrapText="1"/>
    </xf>
    <xf numFmtId="0" fontId="11" fillId="3" borderId="13" xfId="1" applyFont="1" applyFill="1" applyBorder="1" applyAlignment="1">
      <alignment horizontal="center"/>
    </xf>
    <xf numFmtId="0" fontId="11" fillId="4" borderId="7" xfId="1" applyFont="1" applyFill="1" applyBorder="1" applyAlignment="1">
      <alignment horizontal="center"/>
    </xf>
    <xf numFmtId="3" fontId="11" fillId="3" borderId="7" xfId="1" applyNumberFormat="1" applyFont="1" applyFill="1" applyBorder="1" applyAlignment="1">
      <alignment horizontal="center" wrapText="1"/>
    </xf>
    <xf numFmtId="0" fontId="11" fillId="3" borderId="7" xfId="1" applyFont="1" applyFill="1" applyBorder="1" applyAlignment="1">
      <alignment horizontal="center" vertical="center" wrapText="1"/>
    </xf>
    <xf numFmtId="0" fontId="11" fillId="3" borderId="7" xfId="1" applyFont="1" applyFill="1" applyBorder="1" applyAlignment="1">
      <alignment horizontal="center" vertical="center"/>
    </xf>
    <xf numFmtId="0" fontId="4" fillId="3" borderId="7" xfId="2" applyFill="1" applyBorder="1" applyAlignment="1" applyProtection="1">
      <alignment horizontal="center" vertical="center"/>
    </xf>
    <xf numFmtId="0" fontId="11" fillId="3" borderId="8" xfId="1" applyFont="1" applyFill="1" applyBorder="1" applyAlignment="1">
      <alignment horizontal="center" vertical="center" wrapText="1"/>
    </xf>
    <xf numFmtId="0" fontId="3" fillId="3" borderId="5" xfId="1" applyFont="1" applyFill="1" applyBorder="1" applyAlignment="1">
      <alignment horizontal="center" vertical="center" wrapText="1"/>
    </xf>
    <xf numFmtId="0" fontId="3" fillId="3" borderId="11" xfId="1" applyFont="1" applyFill="1" applyBorder="1" applyAlignment="1">
      <alignment horizontal="center" vertical="center" wrapText="1"/>
    </xf>
    <xf numFmtId="0" fontId="11" fillId="3" borderId="5" xfId="1" applyFont="1" applyFill="1" applyBorder="1" applyAlignment="1">
      <alignment horizontal="center"/>
    </xf>
    <xf numFmtId="0" fontId="11" fillId="4" borderId="1" xfId="1" applyFont="1" applyFill="1" applyBorder="1" applyAlignment="1">
      <alignment horizontal="center"/>
    </xf>
    <xf numFmtId="3" fontId="11" fillId="3" borderId="1" xfId="1" applyNumberFormat="1" applyFont="1" applyFill="1" applyBorder="1" applyAlignment="1">
      <alignment horizontal="center" wrapText="1"/>
    </xf>
    <xf numFmtId="0" fontId="11" fillId="3" borderId="1" xfId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4" fillId="3" borderId="1" xfId="2" applyFill="1" applyBorder="1" applyAlignment="1" applyProtection="1">
      <alignment horizontal="center" vertical="center"/>
    </xf>
    <xf numFmtId="0" fontId="11" fillId="3" borderId="2" xfId="1" applyFont="1" applyFill="1" applyBorder="1" applyAlignment="1">
      <alignment horizontal="center" vertical="center" wrapText="1"/>
    </xf>
    <xf numFmtId="0" fontId="3" fillId="5" borderId="5" xfId="1" applyFont="1" applyFill="1" applyBorder="1" applyAlignment="1">
      <alignment horizontal="center" vertical="center" wrapText="1"/>
    </xf>
    <xf numFmtId="0" fontId="3" fillId="5" borderId="11" xfId="1" applyFont="1" applyFill="1" applyBorder="1" applyAlignment="1">
      <alignment horizontal="center" vertical="center" wrapText="1"/>
    </xf>
    <xf numFmtId="0" fontId="11" fillId="5" borderId="5" xfId="1" applyFont="1" applyFill="1" applyBorder="1" applyAlignment="1">
      <alignment horizontal="center"/>
    </xf>
    <xf numFmtId="3" fontId="11" fillId="5" borderId="1" xfId="1" applyNumberFormat="1" applyFont="1" applyFill="1" applyBorder="1" applyAlignment="1">
      <alignment horizontal="center" wrapText="1"/>
    </xf>
    <xf numFmtId="0" fontId="11" fillId="5" borderId="1" xfId="1" applyFont="1" applyFill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/>
    </xf>
    <xf numFmtId="0" fontId="4" fillId="5" borderId="1" xfId="2" applyFill="1" applyBorder="1" applyAlignment="1" applyProtection="1">
      <alignment horizontal="center"/>
    </xf>
    <xf numFmtId="0" fontId="11" fillId="5" borderId="2" xfId="1" applyFont="1" applyFill="1" applyBorder="1" applyAlignment="1">
      <alignment horizontal="center" vertical="center" wrapText="1"/>
    </xf>
    <xf numFmtId="0" fontId="3" fillId="6" borderId="5" xfId="1" applyFont="1" applyFill="1" applyBorder="1" applyAlignment="1">
      <alignment horizontal="center" vertical="center" wrapText="1"/>
    </xf>
    <xf numFmtId="0" fontId="3" fillId="6" borderId="11" xfId="1" applyFont="1" applyFill="1" applyBorder="1" applyAlignment="1">
      <alignment horizontal="center" vertical="center" wrapText="1"/>
    </xf>
    <xf numFmtId="0" fontId="11" fillId="6" borderId="5" xfId="1" applyFont="1" applyFill="1" applyBorder="1" applyAlignment="1">
      <alignment horizontal="center"/>
    </xf>
    <xf numFmtId="3" fontId="11" fillId="6" borderId="1" xfId="1" applyNumberFormat="1" applyFont="1" applyFill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 wrapText="1"/>
    </xf>
    <xf numFmtId="0" fontId="11" fillId="6" borderId="1" xfId="1" applyFont="1" applyFill="1" applyBorder="1" applyAlignment="1">
      <alignment horizontal="center" vertical="center"/>
    </xf>
    <xf numFmtId="0" fontId="4" fillId="6" borderId="1" xfId="2" applyFill="1" applyBorder="1" applyAlignment="1" applyProtection="1">
      <alignment horizontal="center"/>
    </xf>
    <xf numFmtId="0" fontId="11" fillId="6" borderId="2" xfId="1" applyFont="1" applyFill="1" applyBorder="1" applyAlignment="1">
      <alignment horizontal="center" vertical="center" wrapText="1"/>
    </xf>
    <xf numFmtId="0" fontId="3" fillId="7" borderId="5" xfId="1" applyFont="1" applyFill="1" applyBorder="1" applyAlignment="1">
      <alignment horizontal="center" vertical="center" wrapText="1"/>
    </xf>
    <xf numFmtId="0" fontId="3" fillId="7" borderId="11" xfId="1" applyFont="1" applyFill="1" applyBorder="1" applyAlignment="1">
      <alignment horizontal="center" vertical="center" wrapText="1"/>
    </xf>
    <xf numFmtId="0" fontId="11" fillId="7" borderId="5" xfId="1" applyFont="1" applyFill="1" applyBorder="1" applyAlignment="1">
      <alignment horizontal="center"/>
    </xf>
    <xf numFmtId="3" fontId="11" fillId="7" borderId="1" xfId="1" applyNumberFormat="1" applyFont="1" applyFill="1" applyBorder="1" applyAlignment="1">
      <alignment horizontal="center" wrapText="1"/>
    </xf>
    <xf numFmtId="0" fontId="11" fillId="7" borderId="1" xfId="1" applyFont="1" applyFill="1" applyBorder="1" applyAlignment="1">
      <alignment horizontal="center" vertical="center" wrapText="1"/>
    </xf>
    <xf numFmtId="0" fontId="11" fillId="7" borderId="1" xfId="1" applyFont="1" applyFill="1" applyBorder="1" applyAlignment="1">
      <alignment horizontal="center" vertical="center"/>
    </xf>
    <xf numFmtId="0" fontId="3" fillId="8" borderId="5" xfId="1" applyFont="1" applyFill="1" applyBorder="1" applyAlignment="1">
      <alignment horizontal="center" vertical="center" wrapText="1"/>
    </xf>
    <xf numFmtId="0" fontId="3" fillId="8" borderId="11" xfId="1" applyFont="1" applyFill="1" applyBorder="1" applyAlignment="1">
      <alignment horizontal="center" vertical="center" wrapText="1"/>
    </xf>
    <xf numFmtId="0" fontId="11" fillId="8" borderId="5" xfId="1" applyFont="1" applyFill="1" applyBorder="1" applyAlignment="1">
      <alignment horizontal="center"/>
    </xf>
    <xf numFmtId="3" fontId="11" fillId="8" borderId="1" xfId="1" applyNumberFormat="1" applyFont="1" applyFill="1" applyBorder="1" applyAlignment="1">
      <alignment horizontal="center" wrapText="1"/>
    </xf>
    <xf numFmtId="0" fontId="11" fillId="8" borderId="1" xfId="1" applyFont="1" applyFill="1" applyBorder="1" applyAlignment="1">
      <alignment horizontal="center" vertical="center" wrapText="1"/>
    </xf>
    <xf numFmtId="0" fontId="11" fillId="8" borderId="1" xfId="1" applyFont="1" applyFill="1" applyBorder="1" applyAlignment="1">
      <alignment horizontal="center" vertical="center"/>
    </xf>
    <xf numFmtId="0" fontId="4" fillId="8" borderId="1" xfId="2" applyFill="1" applyBorder="1" applyAlignment="1" applyProtection="1">
      <alignment horizontal="center"/>
    </xf>
    <xf numFmtId="0" fontId="3" fillId="9" borderId="5" xfId="1" applyFont="1" applyFill="1" applyBorder="1" applyAlignment="1">
      <alignment horizontal="center" vertical="center" wrapText="1"/>
    </xf>
    <xf numFmtId="0" fontId="3" fillId="9" borderId="11" xfId="1" applyFont="1" applyFill="1" applyBorder="1" applyAlignment="1">
      <alignment horizontal="center" vertical="center" wrapText="1"/>
    </xf>
    <xf numFmtId="0" fontId="11" fillId="9" borderId="5" xfId="1" applyFont="1" applyFill="1" applyBorder="1" applyAlignment="1">
      <alignment horizontal="center"/>
    </xf>
    <xf numFmtId="3" fontId="11" fillId="9" borderId="1" xfId="1" applyNumberFormat="1" applyFont="1" applyFill="1" applyBorder="1" applyAlignment="1">
      <alignment horizontal="center" wrapText="1"/>
    </xf>
    <xf numFmtId="0" fontId="11" fillId="9" borderId="1" xfId="1" applyFont="1" applyFill="1" applyBorder="1" applyAlignment="1">
      <alignment horizontal="center" vertical="center" wrapText="1"/>
    </xf>
    <xf numFmtId="0" fontId="11" fillId="9" borderId="1" xfId="1" applyFont="1" applyFill="1" applyBorder="1" applyAlignment="1">
      <alignment horizontal="center" vertical="center"/>
    </xf>
    <xf numFmtId="0" fontId="4" fillId="9" borderId="1" xfId="2" applyFill="1" applyBorder="1" applyAlignment="1" applyProtection="1">
      <alignment horizontal="center" vertical="center"/>
    </xf>
    <xf numFmtId="0" fontId="11" fillId="9" borderId="2" xfId="1" applyFont="1" applyFill="1" applyBorder="1" applyAlignment="1">
      <alignment horizontal="center" vertical="center"/>
    </xf>
    <xf numFmtId="0" fontId="4" fillId="9" borderId="1" xfId="2" applyFill="1" applyBorder="1" applyAlignment="1" applyProtection="1">
      <alignment horizontal="center"/>
    </xf>
    <xf numFmtId="0" fontId="11" fillId="9" borderId="2" xfId="1" applyFont="1" applyFill="1" applyBorder="1" applyAlignment="1">
      <alignment horizontal="center" vertical="center" wrapText="1"/>
    </xf>
    <xf numFmtId="0" fontId="3" fillId="10" borderId="5" xfId="1" applyFont="1" applyFill="1" applyBorder="1" applyAlignment="1">
      <alignment horizontal="center" vertical="center" wrapText="1"/>
    </xf>
    <xf numFmtId="0" fontId="3" fillId="10" borderId="11" xfId="1" applyFont="1" applyFill="1" applyBorder="1" applyAlignment="1">
      <alignment horizontal="center" vertical="center" wrapText="1"/>
    </xf>
    <xf numFmtId="0" fontId="11" fillId="10" borderId="5" xfId="1" applyFont="1" applyFill="1" applyBorder="1" applyAlignment="1">
      <alignment horizontal="center"/>
    </xf>
    <xf numFmtId="3" fontId="11" fillId="10" borderId="1" xfId="1" applyNumberFormat="1" applyFont="1" applyFill="1" applyBorder="1" applyAlignment="1">
      <alignment horizontal="center" wrapText="1"/>
    </xf>
    <xf numFmtId="0" fontId="11" fillId="10" borderId="1" xfId="1" applyFont="1" applyFill="1" applyBorder="1" applyAlignment="1">
      <alignment horizontal="center" vertical="center" wrapText="1"/>
    </xf>
    <xf numFmtId="0" fontId="11" fillId="10" borderId="1" xfId="1" applyFont="1" applyFill="1" applyBorder="1" applyAlignment="1">
      <alignment horizontal="center" vertical="center"/>
    </xf>
    <xf numFmtId="0" fontId="4" fillId="10" borderId="1" xfId="2" applyFill="1" applyBorder="1" applyAlignment="1" applyProtection="1">
      <alignment horizontal="center" vertical="center"/>
    </xf>
    <xf numFmtId="0" fontId="11" fillId="10" borderId="2" xfId="1" applyFont="1" applyFill="1" applyBorder="1" applyAlignment="1">
      <alignment horizontal="center" vertical="center" wrapText="1"/>
    </xf>
    <xf numFmtId="0" fontId="3" fillId="11" borderId="5" xfId="1" applyFont="1" applyFill="1" applyBorder="1" applyAlignment="1">
      <alignment horizontal="center" vertical="center" wrapText="1"/>
    </xf>
    <xf numFmtId="0" fontId="3" fillId="11" borderId="11" xfId="1" applyFont="1" applyFill="1" applyBorder="1" applyAlignment="1">
      <alignment horizontal="center" vertical="center" wrapText="1"/>
    </xf>
    <xf numFmtId="0" fontId="11" fillId="11" borderId="5" xfId="1" applyFont="1" applyFill="1" applyBorder="1" applyAlignment="1">
      <alignment horizontal="center"/>
    </xf>
    <xf numFmtId="3" fontId="11" fillId="11" borderId="1" xfId="1" applyNumberFormat="1" applyFont="1" applyFill="1" applyBorder="1" applyAlignment="1">
      <alignment horizontal="center" wrapText="1"/>
    </xf>
    <xf numFmtId="0" fontId="11" fillId="11" borderId="1" xfId="1" applyFont="1" applyFill="1" applyBorder="1" applyAlignment="1">
      <alignment horizontal="center" vertical="center" wrapText="1"/>
    </xf>
    <xf numFmtId="0" fontId="11" fillId="11" borderId="1" xfId="1" applyFont="1" applyFill="1" applyBorder="1" applyAlignment="1">
      <alignment horizontal="center" vertical="center"/>
    </xf>
    <xf numFmtId="0" fontId="11" fillId="11" borderId="2" xfId="1" applyFont="1" applyFill="1" applyBorder="1" applyAlignment="1">
      <alignment horizontal="center" vertical="center" wrapText="1"/>
    </xf>
    <xf numFmtId="0" fontId="4" fillId="11" borderId="1" xfId="2" applyFill="1" applyBorder="1" applyAlignment="1" applyProtection="1">
      <alignment horizontal="center"/>
    </xf>
    <xf numFmtId="0" fontId="11" fillId="3" borderId="1" xfId="1" applyFont="1" applyFill="1" applyBorder="1" applyAlignment="1">
      <alignment horizontal="center" vertical="center"/>
    </xf>
    <xf numFmtId="0" fontId="4" fillId="3" borderId="1" xfId="2" applyFill="1" applyBorder="1" applyAlignment="1" applyProtection="1">
      <alignment horizontal="center"/>
    </xf>
    <xf numFmtId="0" fontId="11" fillId="8" borderId="2" xfId="1" applyFont="1" applyFill="1" applyBorder="1" applyAlignment="1">
      <alignment horizontal="center" vertical="center"/>
    </xf>
    <xf numFmtId="0" fontId="4" fillId="7" borderId="1" xfId="2" applyFill="1" applyBorder="1" applyAlignment="1" applyProtection="1">
      <alignment horizontal="center" vertical="center"/>
    </xf>
    <xf numFmtId="0" fontId="11" fillId="7" borderId="2" xfId="1" applyFont="1" applyFill="1" applyBorder="1" applyAlignment="1">
      <alignment horizontal="center" vertical="center"/>
    </xf>
    <xf numFmtId="0" fontId="4" fillId="10" borderId="1" xfId="2" applyFill="1" applyBorder="1" applyAlignment="1" applyProtection="1">
      <alignment horizontal="center"/>
    </xf>
    <xf numFmtId="0" fontId="3" fillId="2" borderId="18" xfId="1" applyFont="1" applyFill="1" applyBorder="1" applyAlignment="1">
      <alignment horizontal="center" vertical="center" wrapText="1"/>
    </xf>
    <xf numFmtId="0" fontId="3" fillId="2" borderId="19" xfId="1" applyFont="1" applyFill="1" applyBorder="1" applyAlignment="1">
      <alignment horizontal="center" vertical="center" wrapText="1"/>
    </xf>
    <xf numFmtId="0" fontId="11" fillId="2" borderId="18" xfId="1" applyFont="1" applyFill="1" applyBorder="1" applyAlignment="1">
      <alignment horizontal="center"/>
    </xf>
    <xf numFmtId="0" fontId="11" fillId="2" borderId="20" xfId="1" applyFont="1" applyFill="1" applyBorder="1" applyAlignment="1">
      <alignment horizontal="center"/>
    </xf>
    <xf numFmtId="3" fontId="11" fillId="2" borderId="20" xfId="1" applyNumberFormat="1" applyFont="1" applyFill="1" applyBorder="1" applyAlignment="1">
      <alignment horizontal="center" wrapText="1"/>
    </xf>
    <xf numFmtId="0" fontId="11" fillId="2" borderId="20" xfId="1" applyFont="1" applyFill="1" applyBorder="1" applyAlignment="1">
      <alignment horizontal="center" vertical="center" wrapText="1"/>
    </xf>
    <xf numFmtId="0" fontId="11" fillId="2" borderId="20" xfId="1" applyFont="1" applyFill="1" applyBorder="1" applyAlignment="1">
      <alignment horizontal="center" vertical="center"/>
    </xf>
    <xf numFmtId="0" fontId="4" fillId="2" borderId="20" xfId="2" applyFill="1" applyBorder="1" applyAlignment="1" applyProtection="1">
      <alignment horizontal="center"/>
    </xf>
    <xf numFmtId="0" fontId="11" fillId="2" borderId="21" xfId="1" applyFont="1" applyFill="1" applyBorder="1" applyAlignment="1">
      <alignment horizontal="center" vertical="center"/>
    </xf>
    <xf numFmtId="0" fontId="3" fillId="12" borderId="5" xfId="1" applyFont="1" applyFill="1" applyBorder="1" applyAlignment="1">
      <alignment horizontal="center" vertical="center" wrapText="1"/>
    </xf>
    <xf numFmtId="0" fontId="3" fillId="12" borderId="11" xfId="1" applyFont="1" applyFill="1" applyBorder="1" applyAlignment="1">
      <alignment horizontal="center" vertical="center" wrapText="1"/>
    </xf>
    <xf numFmtId="0" fontId="11" fillId="12" borderId="5" xfId="1" applyFont="1" applyFill="1" applyBorder="1" applyAlignment="1">
      <alignment horizontal="center"/>
    </xf>
    <xf numFmtId="3" fontId="11" fillId="12" borderId="1" xfId="1" applyNumberFormat="1" applyFont="1" applyFill="1" applyBorder="1" applyAlignment="1">
      <alignment horizontal="center" wrapText="1"/>
    </xf>
    <xf numFmtId="0" fontId="11" fillId="12" borderId="1" xfId="1" applyFont="1" applyFill="1" applyBorder="1" applyAlignment="1">
      <alignment horizontal="center" vertical="center" wrapText="1"/>
    </xf>
    <xf numFmtId="0" fontId="11" fillId="12" borderId="1" xfId="1" applyFont="1" applyFill="1" applyBorder="1" applyAlignment="1">
      <alignment horizontal="center" vertical="center"/>
    </xf>
    <xf numFmtId="0" fontId="4" fillId="12" borderId="1" xfId="2" applyFill="1" applyBorder="1" applyAlignment="1" applyProtection="1">
      <alignment horizontal="center"/>
    </xf>
    <xf numFmtId="0" fontId="11" fillId="12" borderId="2" xfId="1" applyFont="1" applyFill="1" applyBorder="1" applyAlignment="1">
      <alignment horizontal="center" vertical="center" wrapText="1"/>
    </xf>
    <xf numFmtId="0" fontId="3" fillId="13" borderId="5" xfId="1" applyFont="1" applyFill="1" applyBorder="1" applyAlignment="1">
      <alignment horizontal="center" vertical="center" wrapText="1"/>
    </xf>
    <xf numFmtId="0" fontId="3" fillId="13" borderId="11" xfId="1" applyFont="1" applyFill="1" applyBorder="1" applyAlignment="1">
      <alignment horizontal="center" vertical="center" wrapText="1"/>
    </xf>
    <xf numFmtId="0" fontId="11" fillId="13" borderId="5" xfId="1" applyFont="1" applyFill="1" applyBorder="1" applyAlignment="1">
      <alignment horizontal="center"/>
    </xf>
    <xf numFmtId="3" fontId="11" fillId="13" borderId="1" xfId="1" applyNumberFormat="1" applyFont="1" applyFill="1" applyBorder="1" applyAlignment="1">
      <alignment horizontal="center" wrapText="1"/>
    </xf>
    <xf numFmtId="0" fontId="11" fillId="13" borderId="1" xfId="1" applyFont="1" applyFill="1" applyBorder="1" applyAlignment="1">
      <alignment horizontal="center" vertical="center" wrapText="1"/>
    </xf>
    <xf numFmtId="0" fontId="11" fillId="13" borderId="1" xfId="1" applyFont="1" applyFill="1" applyBorder="1" applyAlignment="1">
      <alignment horizontal="center" vertical="center"/>
    </xf>
    <xf numFmtId="0" fontId="4" fillId="13" borderId="1" xfId="2" applyFill="1" applyBorder="1" applyAlignment="1" applyProtection="1">
      <alignment horizontal="center"/>
    </xf>
    <xf numFmtId="0" fontId="11" fillId="13" borderId="2" xfId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SFV24R-2STE1HLF/609-4321-1-ND/2626772" TargetMode="External"/><Relationship Id="rId13" Type="http://schemas.openxmlformats.org/officeDocument/2006/relationships/hyperlink" Target="http://www.digikey.com/product-detail/en/BLM18KG601SN1D/490-5258-1-ND/1982781" TargetMode="External"/><Relationship Id="rId18" Type="http://schemas.openxmlformats.org/officeDocument/2006/relationships/hyperlink" Target="http://www.digikey.com/product-detail/en/GRM188R71H104KA93D/490-1519-1-ND/587854" TargetMode="External"/><Relationship Id="rId26" Type="http://schemas.openxmlformats.org/officeDocument/2006/relationships/hyperlink" Target="http://www.digikey.com/product-detail/en/stmicroelectronics/ESDA6V1L/497-2930-1-ND/634875" TargetMode="External"/><Relationship Id="rId39" Type="http://schemas.openxmlformats.org/officeDocument/2006/relationships/ctrlProp" Target="../ctrlProps/ctrlProp1.xml"/><Relationship Id="rId3" Type="http://schemas.openxmlformats.org/officeDocument/2006/relationships/hyperlink" Target="http://www.digikey.com/product-detail/en/EMK107B7105KA-T/587-1241-1-ND/931018" TargetMode="External"/><Relationship Id="rId21" Type="http://schemas.openxmlformats.org/officeDocument/2006/relationships/hyperlink" Target="http://www.digikey.com/product-detail/en/742C163472JP/742C163472JPCT-ND/1124497" TargetMode="External"/><Relationship Id="rId34" Type="http://schemas.openxmlformats.org/officeDocument/2006/relationships/ctrlProp" Target="../ctrlProps/ctrlProp3.xml"/><Relationship Id="rId7" Type="http://schemas.openxmlformats.org/officeDocument/2006/relationships/hyperlink" Target="http://www.digikey.com/product-detail/en/AO3401A/785-1001-1-ND/1855943" TargetMode="External"/><Relationship Id="rId12" Type="http://schemas.openxmlformats.org/officeDocument/2006/relationships/hyperlink" Target="http://www.digikey.com/product-detail/en/IP4234CZ6,125/568-5869-1-ND/2531156" TargetMode="External"/><Relationship Id="rId17" Type="http://schemas.openxmlformats.org/officeDocument/2006/relationships/hyperlink" Target="http://www.digikey.com/product-detail/en/C1608X7R1C224K080AC/445-1318-1-ND/567690" TargetMode="External"/><Relationship Id="rId25" Type="http://schemas.openxmlformats.org/officeDocument/2006/relationships/hyperlink" Target="http://www.alibaba.com/product-detail/Push-button-tact-switch-TS-005_60325412854.html" TargetMode="External"/><Relationship Id="rId33" Type="http://schemas.openxmlformats.org/officeDocument/2006/relationships/ctrlProp" Target="../ctrlProps/ctrlProp2.xml"/><Relationship Id="rId38" Type="http://schemas.openxmlformats.org/officeDocument/2006/relationships/ctrlProp" Target="../ctrlProps/ctrlProp7.xml"/><Relationship Id="rId2" Type="http://schemas.openxmlformats.org/officeDocument/2006/relationships/hyperlink" Target="http://www.digikey.com/product-detail/en/10118194-0001LF/609-4618-1-ND/2785382" TargetMode="External"/><Relationship Id="rId16" Type="http://schemas.openxmlformats.org/officeDocument/2006/relationships/hyperlink" Target="http://www.digikey.com/product-detail/en/CL31B475KAHNNNE/1276-1055-1-ND/3889141" TargetMode="External"/><Relationship Id="rId20" Type="http://schemas.openxmlformats.org/officeDocument/2006/relationships/hyperlink" Target="http://www.digikey.com/product-detail/en/ERJ-3EKF1002V/P10.0KHCT-ND/198102" TargetMode="External"/><Relationship Id="rId29" Type="http://schemas.openxmlformats.org/officeDocument/2006/relationships/hyperlink" Target="http://www.digikey.com/product-detail/en/stmicroelectronics/LIS2HH12TR/497-15069-1-ND/5043075" TargetMode="External"/><Relationship Id="rId1" Type="http://schemas.openxmlformats.org/officeDocument/2006/relationships/hyperlink" Target="http://www.digikey.com/product-detail/en/5145300-3/A117663-ND/4731128" TargetMode="External"/><Relationship Id="rId6" Type="http://schemas.openxmlformats.org/officeDocument/2006/relationships/hyperlink" Target="http://www.digikey.com/product-detail/en/EMK107ABJ475KA-T/587-2786-1-ND/2573980" TargetMode="External"/><Relationship Id="rId11" Type="http://schemas.openxmlformats.org/officeDocument/2006/relationships/hyperlink" Target="http://www.digikey.com/product-detail/en/NX3225SA-16.000000MHZ-STD-CSR-1/644-1049-1-ND/1128921" TargetMode="External"/><Relationship Id="rId24" Type="http://schemas.openxmlformats.org/officeDocument/2006/relationships/hyperlink" Target="http://www.digikey.com/product-detail/en/ST662ACD-TR/497-6542-1-ND/1865353" TargetMode="External"/><Relationship Id="rId37" Type="http://schemas.openxmlformats.org/officeDocument/2006/relationships/ctrlProp" Target="../ctrlProps/ctrlProp6.xml"/><Relationship Id="rId5" Type="http://schemas.openxmlformats.org/officeDocument/2006/relationships/hyperlink" Target="http://www.digikey.com/product-detail/en/ERJ-3EKF9103V/P910KHCT-ND/1746814" TargetMode="External"/><Relationship Id="rId15" Type="http://schemas.openxmlformats.org/officeDocument/2006/relationships/hyperlink" Target="http://www.digikey.com/product-detail/en/GRM31CR61E106KA12L/490-3373-1-ND/702914" TargetMode="External"/><Relationship Id="rId23" Type="http://schemas.openxmlformats.org/officeDocument/2006/relationships/hyperlink" Target="http://www.digikey.com/product-detail/en/2N7002ET1G/2N7002ET1GOSCT-ND/1967029" TargetMode="External"/><Relationship Id="rId28" Type="http://schemas.openxmlformats.org/officeDocument/2006/relationships/hyperlink" Target="http://www.digikey.com/product-detail/en/panasonic-electronic-components/ERJ-3EKF91R0V/P91.0HCT-ND/1746815" TargetMode="External"/><Relationship Id="rId36" Type="http://schemas.openxmlformats.org/officeDocument/2006/relationships/ctrlProp" Target="../ctrlProps/ctrlProp5.xml"/><Relationship Id="rId10" Type="http://schemas.openxmlformats.org/officeDocument/2006/relationships/hyperlink" Target="http://www.digikey.com/product-detail/en/AT45DB041E-SHN-T/AT45DB041E-SHN-TCT-ND/4311895" TargetMode="External"/><Relationship Id="rId19" Type="http://schemas.openxmlformats.org/officeDocument/2006/relationships/hyperlink" Target="http://www.digikey.com/product-detail/en/C1608C0G1H180J080AA/445-1272-1-ND/567674" TargetMode="External"/><Relationship Id="rId4" Type="http://schemas.openxmlformats.org/officeDocument/2006/relationships/hyperlink" Target="http://www.digikey.com/product-detail/en/ERJ-3EKF22R0V/P22.0HCT-ND/1746745" TargetMode="External"/><Relationship Id="rId9" Type="http://schemas.openxmlformats.org/officeDocument/2006/relationships/hyperlink" Target="http://www.digikey.com/product-detail/en/ATMEGA32U4-MU/ATMEGA32U4-MU-ND/1914603" TargetMode="External"/><Relationship Id="rId14" Type="http://schemas.openxmlformats.org/officeDocument/2006/relationships/hyperlink" Target="http://www.digikey.com/product-detail/en/CL31A226KAHNNNE/1276-3047-1-ND/3891133" TargetMode="External"/><Relationship Id="rId22" Type="http://schemas.openxmlformats.org/officeDocument/2006/relationships/hyperlink" Target="http://www.digikey.com/product-detail/en/742C163222JP/742C163222JPCT-ND/1124507" TargetMode="External"/><Relationship Id="rId27" Type="http://schemas.openxmlformats.org/officeDocument/2006/relationships/hyperlink" Target="http://www.digikey.com/product-detail/en/lite-on-inc/LTST-S220TBKT/160-2032-1-ND/3711395" TargetMode="External"/><Relationship Id="rId30" Type="http://schemas.openxmlformats.org/officeDocument/2006/relationships/printerSettings" Target="../printerSettings/printerSettings1.bin"/><Relationship Id="rId35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39"/>
  <sheetViews>
    <sheetView tabSelected="1" topLeftCell="A12" zoomScale="115" zoomScaleNormal="115" workbookViewId="0">
      <selection activeCell="C28" sqref="C28"/>
    </sheetView>
  </sheetViews>
  <sheetFormatPr baseColWidth="10" defaultColWidth="11.42578125" defaultRowHeight="15"/>
  <cols>
    <col min="1" max="1" width="1.85546875" customWidth="1"/>
    <col min="2" max="2" width="5.140625" customWidth="1"/>
    <col min="3" max="3" width="28" customWidth="1"/>
    <col min="4" max="4" width="5.85546875" customWidth="1"/>
    <col min="5" max="5" width="11.85546875" bestFit="1" customWidth="1"/>
    <col min="6" max="6" width="13.85546875" customWidth="1"/>
    <col min="7" max="7" width="36.85546875" customWidth="1"/>
    <col min="8" max="8" width="19.7109375" customWidth="1"/>
    <col min="9" max="9" width="32.5703125" bestFit="1" customWidth="1"/>
    <col min="10" max="10" width="17.42578125" customWidth="1"/>
    <col min="11" max="11" width="113" bestFit="1" customWidth="1"/>
    <col min="12" max="12" width="38" customWidth="1"/>
    <col min="13" max="13" width="54.7109375" customWidth="1"/>
    <col min="14" max="14" width="10.140625" customWidth="1"/>
  </cols>
  <sheetData>
    <row r="2" spans="1:14" ht="28.5">
      <c r="B2" s="132" t="s">
        <v>11</v>
      </c>
      <c r="C2" s="132"/>
      <c r="D2" s="132"/>
      <c r="E2" s="132"/>
      <c r="F2" s="132"/>
      <c r="G2" s="132"/>
      <c r="H2" s="132"/>
      <c r="I2" s="132"/>
      <c r="J2" s="132"/>
      <c r="K2" s="132"/>
      <c r="L2" s="1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</row>
    <row r="7" spans="1:14" ht="19.5" customHeight="1" thickBot="1">
      <c r="B7" s="13" t="s">
        <v>0</v>
      </c>
      <c r="C7" s="12" t="s">
        <v>7</v>
      </c>
      <c r="D7" s="12" t="s">
        <v>1</v>
      </c>
      <c r="E7" s="14" t="s">
        <v>9</v>
      </c>
      <c r="F7" s="14" t="s">
        <v>10</v>
      </c>
      <c r="G7" s="14" t="s">
        <v>2</v>
      </c>
      <c r="H7" s="14" t="s">
        <v>3</v>
      </c>
      <c r="I7" s="14" t="s">
        <v>4</v>
      </c>
      <c r="J7" s="14" t="s">
        <v>6</v>
      </c>
      <c r="K7" s="14" t="s">
        <v>5</v>
      </c>
      <c r="L7" s="14" t="s">
        <v>12</v>
      </c>
      <c r="M7" s="15" t="s">
        <v>13</v>
      </c>
      <c r="N7" s="16" t="s">
        <v>14</v>
      </c>
    </row>
    <row r="8" spans="1:14">
      <c r="A8" s="4"/>
      <c r="B8" s="28">
        <v>1</v>
      </c>
      <c r="C8" s="29" t="s">
        <v>24</v>
      </c>
      <c r="D8" s="30">
        <v>1</v>
      </c>
      <c r="E8" s="31">
        <v>0</v>
      </c>
      <c r="F8" s="32">
        <v>326</v>
      </c>
      <c r="G8" s="33" t="s">
        <v>22</v>
      </c>
      <c r="H8" s="33" t="s">
        <v>21</v>
      </c>
      <c r="I8" s="34" t="s">
        <v>17</v>
      </c>
      <c r="J8" s="33"/>
      <c r="K8" s="35" t="s">
        <v>15</v>
      </c>
      <c r="L8" s="33" t="s">
        <v>18</v>
      </c>
      <c r="M8" s="34" t="s">
        <v>19</v>
      </c>
      <c r="N8" s="36"/>
    </row>
    <row r="9" spans="1:14" ht="33.75">
      <c r="A9" s="4"/>
      <c r="B9" s="37">
        <v>2</v>
      </c>
      <c r="C9" s="38" t="s">
        <v>40</v>
      </c>
      <c r="D9" s="39">
        <v>1</v>
      </c>
      <c r="E9" s="40">
        <v>0</v>
      </c>
      <c r="F9" s="41">
        <v>115847</v>
      </c>
      <c r="G9" s="42" t="s">
        <v>96</v>
      </c>
      <c r="H9" s="43" t="s">
        <v>95</v>
      </c>
      <c r="I9" s="42" t="s">
        <v>157</v>
      </c>
      <c r="J9" s="42"/>
      <c r="K9" s="44" t="s">
        <v>39</v>
      </c>
      <c r="L9" s="43" t="s">
        <v>18</v>
      </c>
      <c r="M9" s="42" t="s">
        <v>97</v>
      </c>
      <c r="N9" s="45"/>
    </row>
    <row r="10" spans="1:14">
      <c r="A10" s="4"/>
      <c r="B10" s="37">
        <v>3</v>
      </c>
      <c r="C10" s="38" t="s">
        <v>145</v>
      </c>
      <c r="D10" s="39">
        <v>1</v>
      </c>
      <c r="E10" s="40">
        <v>0</v>
      </c>
      <c r="F10" s="41">
        <v>14785</v>
      </c>
      <c r="G10" s="42" t="s">
        <v>148</v>
      </c>
      <c r="H10" s="42" t="s">
        <v>147</v>
      </c>
      <c r="I10" s="101" t="s">
        <v>157</v>
      </c>
      <c r="J10" s="42"/>
      <c r="K10" s="102" t="s">
        <v>146</v>
      </c>
      <c r="L10" s="42" t="s">
        <v>18</v>
      </c>
      <c r="M10" s="101" t="s">
        <v>149</v>
      </c>
      <c r="N10" s="45"/>
    </row>
    <row r="11" spans="1:14">
      <c r="A11" s="4"/>
      <c r="B11" s="46">
        <v>4</v>
      </c>
      <c r="C11" s="47" t="s">
        <v>25</v>
      </c>
      <c r="D11" s="48">
        <v>1</v>
      </c>
      <c r="E11" s="40">
        <v>0</v>
      </c>
      <c r="F11" s="49">
        <v>4133</v>
      </c>
      <c r="G11" s="50" t="s">
        <v>166</v>
      </c>
      <c r="H11" s="50" t="s">
        <v>165</v>
      </c>
      <c r="I11" s="51" t="s">
        <v>164</v>
      </c>
      <c r="J11" s="50" t="s">
        <v>23</v>
      </c>
      <c r="K11" s="52" t="s">
        <v>16</v>
      </c>
      <c r="L11" s="50" t="s">
        <v>20</v>
      </c>
      <c r="M11" s="51" t="s">
        <v>167</v>
      </c>
      <c r="N11" s="53"/>
    </row>
    <row r="12" spans="1:14">
      <c r="A12" s="4"/>
      <c r="B12" s="46">
        <v>5</v>
      </c>
      <c r="C12" s="47" t="s">
        <v>44</v>
      </c>
      <c r="D12" s="48">
        <v>1</v>
      </c>
      <c r="E12" s="40">
        <v>0</v>
      </c>
      <c r="F12" s="49">
        <v>7788</v>
      </c>
      <c r="G12" s="50" t="s">
        <v>108</v>
      </c>
      <c r="H12" s="50" t="s">
        <v>107</v>
      </c>
      <c r="I12" s="51" t="s">
        <v>106</v>
      </c>
      <c r="J12" s="50" t="s">
        <v>110</v>
      </c>
      <c r="K12" s="52" t="s">
        <v>43</v>
      </c>
      <c r="L12" s="50" t="s">
        <v>20</v>
      </c>
      <c r="M12" s="51" t="s">
        <v>109</v>
      </c>
      <c r="N12" s="53"/>
    </row>
    <row r="13" spans="1:14">
      <c r="A13" s="4"/>
      <c r="B13" s="46">
        <v>6</v>
      </c>
      <c r="C13" s="47" t="s">
        <v>151</v>
      </c>
      <c r="D13" s="48">
        <v>1</v>
      </c>
      <c r="E13" s="40">
        <v>0</v>
      </c>
      <c r="F13" s="49">
        <v>31523</v>
      </c>
      <c r="G13" s="50" t="s">
        <v>154</v>
      </c>
      <c r="H13" s="50" t="s">
        <v>153</v>
      </c>
      <c r="I13" s="51" t="s">
        <v>152</v>
      </c>
      <c r="J13" s="50" t="s">
        <v>156</v>
      </c>
      <c r="K13" s="52" t="s">
        <v>150</v>
      </c>
      <c r="L13" s="50" t="s">
        <v>20</v>
      </c>
      <c r="M13" s="51" t="s">
        <v>155</v>
      </c>
      <c r="N13" s="53"/>
    </row>
    <row r="14" spans="1:14" ht="33.75">
      <c r="A14" s="4"/>
      <c r="B14" s="54">
        <v>7</v>
      </c>
      <c r="C14" s="55" t="s">
        <v>26</v>
      </c>
      <c r="D14" s="56">
        <v>1</v>
      </c>
      <c r="E14" s="40">
        <v>0</v>
      </c>
      <c r="F14" s="57">
        <v>160808</v>
      </c>
      <c r="G14" s="58" t="s">
        <v>64</v>
      </c>
      <c r="H14" s="58" t="s">
        <v>63</v>
      </c>
      <c r="I14" s="59" t="s">
        <v>62</v>
      </c>
      <c r="J14" s="58" t="s">
        <v>67</v>
      </c>
      <c r="K14" s="60" t="s">
        <v>27</v>
      </c>
      <c r="L14" s="58" t="s">
        <v>65</v>
      </c>
      <c r="M14" s="59" t="s">
        <v>66</v>
      </c>
      <c r="N14" s="61" t="s">
        <v>134</v>
      </c>
    </row>
    <row r="15" spans="1:14">
      <c r="A15" s="4"/>
      <c r="B15" s="62">
        <v>8</v>
      </c>
      <c r="C15" s="63" t="s">
        <v>28</v>
      </c>
      <c r="D15" s="64">
        <v>1</v>
      </c>
      <c r="E15" s="40">
        <v>0</v>
      </c>
      <c r="F15" s="65">
        <v>36960</v>
      </c>
      <c r="G15" s="66" t="s">
        <v>70</v>
      </c>
      <c r="H15" s="66" t="s">
        <v>69</v>
      </c>
      <c r="I15" s="67" t="s">
        <v>68</v>
      </c>
      <c r="J15" s="66" t="s">
        <v>73</v>
      </c>
      <c r="K15" s="104" t="s">
        <v>29</v>
      </c>
      <c r="L15" s="66" t="s">
        <v>71</v>
      </c>
      <c r="M15" s="67" t="s">
        <v>72</v>
      </c>
      <c r="N15" s="105"/>
    </row>
    <row r="16" spans="1:14">
      <c r="A16" s="4"/>
      <c r="B16" s="62">
        <v>9</v>
      </c>
      <c r="C16" s="63" t="s">
        <v>168</v>
      </c>
      <c r="D16" s="64">
        <v>1</v>
      </c>
      <c r="E16" s="40">
        <v>0</v>
      </c>
      <c r="F16" s="65">
        <v>23486</v>
      </c>
      <c r="G16" s="66" t="s">
        <v>162</v>
      </c>
      <c r="H16" s="66" t="s">
        <v>161</v>
      </c>
      <c r="I16" s="67" t="s">
        <v>152</v>
      </c>
      <c r="J16" s="66" t="s">
        <v>118</v>
      </c>
      <c r="K16" s="104" t="s">
        <v>160</v>
      </c>
      <c r="L16" s="66" t="s">
        <v>71</v>
      </c>
      <c r="M16" s="67" t="s">
        <v>72</v>
      </c>
      <c r="N16" s="105"/>
    </row>
    <row r="17" spans="1:14">
      <c r="A17" s="4"/>
      <c r="B17" s="68">
        <v>10</v>
      </c>
      <c r="C17" s="69" t="s">
        <v>30</v>
      </c>
      <c r="D17" s="70">
        <v>1</v>
      </c>
      <c r="E17" s="40">
        <v>0</v>
      </c>
      <c r="F17" s="71">
        <v>333530</v>
      </c>
      <c r="G17" s="72" t="s">
        <v>163</v>
      </c>
      <c r="H17" s="72" t="s">
        <v>75</v>
      </c>
      <c r="I17" s="73" t="s">
        <v>74</v>
      </c>
      <c r="J17" s="72" t="s">
        <v>78</v>
      </c>
      <c r="K17" s="74" t="s">
        <v>31</v>
      </c>
      <c r="L17" s="72" t="s">
        <v>76</v>
      </c>
      <c r="M17" s="73" t="s">
        <v>77</v>
      </c>
      <c r="N17" s="103"/>
    </row>
    <row r="18" spans="1:14">
      <c r="A18" s="4"/>
      <c r="B18" s="75">
        <v>11</v>
      </c>
      <c r="C18" s="76" t="s">
        <v>57</v>
      </c>
      <c r="D18" s="77">
        <v>2</v>
      </c>
      <c r="E18" s="40">
        <v>0</v>
      </c>
      <c r="F18" s="78">
        <v>282212</v>
      </c>
      <c r="G18" s="79" t="s">
        <v>127</v>
      </c>
      <c r="H18" s="79" t="s">
        <v>126</v>
      </c>
      <c r="I18" s="80" t="s">
        <v>119</v>
      </c>
      <c r="J18" s="79" t="s">
        <v>86</v>
      </c>
      <c r="K18" s="83" t="s">
        <v>56</v>
      </c>
      <c r="L18" s="79" t="s">
        <v>82</v>
      </c>
      <c r="M18" s="80" t="s">
        <v>83</v>
      </c>
      <c r="N18" s="84" t="s">
        <v>140</v>
      </c>
    </row>
    <row r="19" spans="1:14">
      <c r="A19" s="4"/>
      <c r="B19" s="75">
        <v>12</v>
      </c>
      <c r="C19" s="76" t="s">
        <v>33</v>
      </c>
      <c r="D19" s="77">
        <v>1</v>
      </c>
      <c r="E19" s="40">
        <v>0</v>
      </c>
      <c r="F19" s="78">
        <v>1498791</v>
      </c>
      <c r="G19" s="79" t="s">
        <v>85</v>
      </c>
      <c r="H19" s="79" t="s">
        <v>84</v>
      </c>
      <c r="I19" s="80" t="s">
        <v>74</v>
      </c>
      <c r="J19" s="79" t="s">
        <v>86</v>
      </c>
      <c r="K19" s="81" t="s">
        <v>34</v>
      </c>
      <c r="L19" s="79" t="s">
        <v>82</v>
      </c>
      <c r="M19" s="80" t="s">
        <v>83</v>
      </c>
      <c r="N19" s="84" t="s">
        <v>136</v>
      </c>
    </row>
    <row r="20" spans="1:14">
      <c r="A20" s="4"/>
      <c r="B20" s="75">
        <v>13</v>
      </c>
      <c r="C20" s="76" t="s">
        <v>52</v>
      </c>
      <c r="D20" s="77">
        <v>1</v>
      </c>
      <c r="E20" s="40">
        <v>0</v>
      </c>
      <c r="F20" s="78">
        <v>41952</v>
      </c>
      <c r="G20" s="79" t="s">
        <v>121</v>
      </c>
      <c r="H20" s="79" t="s">
        <v>120</v>
      </c>
      <c r="I20" s="80" t="s">
        <v>119</v>
      </c>
      <c r="J20" s="79" t="s">
        <v>86</v>
      </c>
      <c r="K20" s="81" t="s">
        <v>50</v>
      </c>
      <c r="L20" s="79" t="s">
        <v>82</v>
      </c>
      <c r="M20" s="80" t="s">
        <v>83</v>
      </c>
      <c r="N20" s="84" t="s">
        <v>139</v>
      </c>
    </row>
    <row r="21" spans="1:14">
      <c r="A21" s="4"/>
      <c r="B21" s="75">
        <v>14</v>
      </c>
      <c r="C21" s="76" t="s">
        <v>53</v>
      </c>
      <c r="D21" s="77">
        <v>2</v>
      </c>
      <c r="E21" s="40">
        <v>0</v>
      </c>
      <c r="F21" s="78">
        <v>440287</v>
      </c>
      <c r="G21" s="79" t="s">
        <v>123</v>
      </c>
      <c r="H21" s="79" t="s">
        <v>122</v>
      </c>
      <c r="I21" s="80" t="s">
        <v>79</v>
      </c>
      <c r="J21" s="79" t="s">
        <v>78</v>
      </c>
      <c r="K21" s="81" t="s">
        <v>51</v>
      </c>
      <c r="L21" s="79" t="s">
        <v>82</v>
      </c>
      <c r="M21" s="80" t="s">
        <v>83</v>
      </c>
      <c r="N21" s="84" t="s">
        <v>139</v>
      </c>
    </row>
    <row r="22" spans="1:14">
      <c r="A22" s="4"/>
      <c r="B22" s="75">
        <v>15</v>
      </c>
      <c r="C22" s="76" t="s">
        <v>183</v>
      </c>
      <c r="D22" s="77">
        <v>3</v>
      </c>
      <c r="E22" s="40">
        <v>0</v>
      </c>
      <c r="F22" s="78">
        <v>2390648</v>
      </c>
      <c r="G22" s="79" t="s">
        <v>81</v>
      </c>
      <c r="H22" s="79" t="s">
        <v>80</v>
      </c>
      <c r="I22" s="80" t="s">
        <v>79</v>
      </c>
      <c r="J22" s="79" t="s">
        <v>78</v>
      </c>
      <c r="K22" s="81" t="s">
        <v>32</v>
      </c>
      <c r="L22" s="79" t="s">
        <v>82</v>
      </c>
      <c r="M22" s="80" t="s">
        <v>83</v>
      </c>
      <c r="N22" s="84" t="s">
        <v>135</v>
      </c>
    </row>
    <row r="23" spans="1:14">
      <c r="A23" s="4"/>
      <c r="B23" s="75">
        <v>16</v>
      </c>
      <c r="C23" s="76" t="s">
        <v>47</v>
      </c>
      <c r="D23" s="77">
        <v>2</v>
      </c>
      <c r="E23" s="40">
        <v>0</v>
      </c>
      <c r="F23" s="78">
        <v>273499</v>
      </c>
      <c r="G23" s="79" t="s">
        <v>114</v>
      </c>
      <c r="H23" s="79" t="s">
        <v>113</v>
      </c>
      <c r="I23" s="80" t="s">
        <v>87</v>
      </c>
      <c r="J23" s="79" t="s">
        <v>78</v>
      </c>
      <c r="K23" s="81" t="s">
        <v>46</v>
      </c>
      <c r="L23" s="79" t="s">
        <v>82</v>
      </c>
      <c r="M23" s="80" t="s">
        <v>83</v>
      </c>
      <c r="N23" s="84" t="s">
        <v>138</v>
      </c>
    </row>
    <row r="24" spans="1:14" ht="25.5">
      <c r="A24" s="4"/>
      <c r="B24" s="75">
        <v>17</v>
      </c>
      <c r="C24" s="76" t="s">
        <v>191</v>
      </c>
      <c r="D24" s="77">
        <v>14</v>
      </c>
      <c r="E24" s="40">
        <v>0</v>
      </c>
      <c r="F24" s="78">
        <v>5236169</v>
      </c>
      <c r="G24" s="79" t="s">
        <v>112</v>
      </c>
      <c r="H24" s="79" t="s">
        <v>111</v>
      </c>
      <c r="I24" s="80" t="s">
        <v>74</v>
      </c>
      <c r="J24" s="79" t="s">
        <v>78</v>
      </c>
      <c r="K24" s="81" t="s">
        <v>45</v>
      </c>
      <c r="L24" s="79" t="s">
        <v>82</v>
      </c>
      <c r="M24" s="80" t="s">
        <v>83</v>
      </c>
      <c r="N24" s="84" t="s">
        <v>174</v>
      </c>
    </row>
    <row r="25" spans="1:14">
      <c r="A25" s="4"/>
      <c r="B25" s="75">
        <v>18</v>
      </c>
      <c r="C25" s="76" t="s">
        <v>35</v>
      </c>
      <c r="D25" s="77">
        <v>2</v>
      </c>
      <c r="E25" s="40">
        <v>0</v>
      </c>
      <c r="F25" s="78">
        <v>8162</v>
      </c>
      <c r="G25" s="79" t="s">
        <v>89</v>
      </c>
      <c r="H25" s="79" t="s">
        <v>88</v>
      </c>
      <c r="I25" s="80" t="s">
        <v>87</v>
      </c>
      <c r="J25" s="79" t="s">
        <v>78</v>
      </c>
      <c r="K25" s="81" t="s">
        <v>36</v>
      </c>
      <c r="L25" s="79" t="s">
        <v>82</v>
      </c>
      <c r="M25" s="80" t="s">
        <v>83</v>
      </c>
      <c r="N25" s="82" t="s">
        <v>137</v>
      </c>
    </row>
    <row r="26" spans="1:14">
      <c r="A26" s="4"/>
      <c r="B26" s="85">
        <v>19</v>
      </c>
      <c r="C26" s="86" t="s">
        <v>55</v>
      </c>
      <c r="D26" s="87">
        <v>1</v>
      </c>
      <c r="E26" s="40">
        <v>0</v>
      </c>
      <c r="F26" s="88">
        <v>104479</v>
      </c>
      <c r="G26" s="89" t="s">
        <v>125</v>
      </c>
      <c r="H26" s="89" t="s">
        <v>124</v>
      </c>
      <c r="I26" s="90" t="s">
        <v>90</v>
      </c>
      <c r="J26" s="89">
        <v>603</v>
      </c>
      <c r="K26" s="91" t="s">
        <v>54</v>
      </c>
      <c r="L26" s="89" t="s">
        <v>93</v>
      </c>
      <c r="M26" s="90" t="s">
        <v>94</v>
      </c>
      <c r="N26" s="92" t="s">
        <v>142</v>
      </c>
    </row>
    <row r="27" spans="1:14">
      <c r="A27" s="4"/>
      <c r="B27" s="85">
        <v>20</v>
      </c>
      <c r="C27" s="86" t="s">
        <v>193</v>
      </c>
      <c r="D27" s="87">
        <v>5</v>
      </c>
      <c r="E27" s="40">
        <v>0</v>
      </c>
      <c r="F27" s="88">
        <v>9418885</v>
      </c>
      <c r="G27" s="89" t="s">
        <v>99</v>
      </c>
      <c r="H27" s="89" t="s">
        <v>98</v>
      </c>
      <c r="I27" s="90" t="s">
        <v>90</v>
      </c>
      <c r="J27" s="89">
        <v>603</v>
      </c>
      <c r="K27" s="91" t="s">
        <v>41</v>
      </c>
      <c r="L27" s="89" t="s">
        <v>93</v>
      </c>
      <c r="M27" s="90" t="s">
        <v>94</v>
      </c>
      <c r="N27" s="92" t="s">
        <v>141</v>
      </c>
    </row>
    <row r="28" spans="1:14">
      <c r="A28" s="4"/>
      <c r="B28" s="85">
        <v>21</v>
      </c>
      <c r="C28" s="86" t="s">
        <v>172</v>
      </c>
      <c r="D28" s="87">
        <v>4</v>
      </c>
      <c r="E28" s="40">
        <v>0</v>
      </c>
      <c r="F28" s="88">
        <v>126928</v>
      </c>
      <c r="G28" s="89" t="s">
        <v>182</v>
      </c>
      <c r="H28" s="89" t="s">
        <v>181</v>
      </c>
      <c r="I28" s="90" t="s">
        <v>90</v>
      </c>
      <c r="J28" s="89">
        <v>603</v>
      </c>
      <c r="K28" s="91" t="s">
        <v>173</v>
      </c>
      <c r="L28" s="89" t="s">
        <v>93</v>
      </c>
      <c r="M28" s="90" t="s">
        <v>94</v>
      </c>
      <c r="N28" s="92">
        <v>91</v>
      </c>
    </row>
    <row r="29" spans="1:14">
      <c r="A29" s="4"/>
      <c r="B29" s="85">
        <v>22</v>
      </c>
      <c r="C29" s="86" t="s">
        <v>37</v>
      </c>
      <c r="D29" s="87">
        <v>2</v>
      </c>
      <c r="E29" s="40">
        <v>0</v>
      </c>
      <c r="F29" s="88">
        <v>332805</v>
      </c>
      <c r="G29" s="89" t="s">
        <v>92</v>
      </c>
      <c r="H29" s="89" t="s">
        <v>91</v>
      </c>
      <c r="I29" s="90" t="s">
        <v>90</v>
      </c>
      <c r="J29" s="89">
        <v>603</v>
      </c>
      <c r="K29" s="91" t="s">
        <v>38</v>
      </c>
      <c r="L29" s="89" t="s">
        <v>93</v>
      </c>
      <c r="M29" s="90" t="s">
        <v>94</v>
      </c>
      <c r="N29" s="92">
        <v>22</v>
      </c>
    </row>
    <row r="30" spans="1:14">
      <c r="A30" s="4"/>
      <c r="B30" s="85">
        <v>23</v>
      </c>
      <c r="C30" s="86" t="s">
        <v>59</v>
      </c>
      <c r="D30" s="87">
        <v>1</v>
      </c>
      <c r="E30" s="40">
        <v>0</v>
      </c>
      <c r="F30" s="88">
        <v>49113</v>
      </c>
      <c r="G30" s="89" t="s">
        <v>130</v>
      </c>
      <c r="H30" s="89" t="s">
        <v>129</v>
      </c>
      <c r="I30" s="90" t="s">
        <v>128</v>
      </c>
      <c r="J30" s="89">
        <v>603</v>
      </c>
      <c r="K30" s="106" t="s">
        <v>58</v>
      </c>
      <c r="L30" s="89" t="s">
        <v>93</v>
      </c>
      <c r="M30" s="90" t="s">
        <v>131</v>
      </c>
      <c r="N30" s="92" t="s">
        <v>143</v>
      </c>
    </row>
    <row r="31" spans="1:14">
      <c r="A31" s="4"/>
      <c r="B31" s="85">
        <v>24</v>
      </c>
      <c r="C31" s="86" t="s">
        <v>61</v>
      </c>
      <c r="D31" s="87">
        <v>1</v>
      </c>
      <c r="E31" s="40">
        <v>0</v>
      </c>
      <c r="F31" s="88">
        <v>4104</v>
      </c>
      <c r="G31" s="89" t="s">
        <v>133</v>
      </c>
      <c r="H31" s="89" t="s">
        <v>132</v>
      </c>
      <c r="I31" s="90" t="s">
        <v>128</v>
      </c>
      <c r="J31" s="89">
        <v>603</v>
      </c>
      <c r="K31" s="106" t="s">
        <v>60</v>
      </c>
      <c r="L31" s="89" t="s">
        <v>93</v>
      </c>
      <c r="M31" s="90" t="s">
        <v>131</v>
      </c>
      <c r="N31" s="92" t="s">
        <v>144</v>
      </c>
    </row>
    <row r="32" spans="1:14">
      <c r="A32" s="4"/>
      <c r="B32" s="93">
        <v>25</v>
      </c>
      <c r="C32" s="94" t="s">
        <v>169</v>
      </c>
      <c r="D32" s="95">
        <v>2</v>
      </c>
      <c r="E32" s="40">
        <v>0</v>
      </c>
      <c r="F32" s="96">
        <v>159141</v>
      </c>
      <c r="G32" s="97" t="s">
        <v>102</v>
      </c>
      <c r="H32" s="97" t="s">
        <v>101</v>
      </c>
      <c r="I32" s="98" t="s">
        <v>100</v>
      </c>
      <c r="J32" s="97" t="s">
        <v>105</v>
      </c>
      <c r="K32" s="100" t="s">
        <v>42</v>
      </c>
      <c r="L32" s="97" t="s">
        <v>103</v>
      </c>
      <c r="M32" s="98" t="s">
        <v>104</v>
      </c>
      <c r="N32" s="99"/>
    </row>
    <row r="33" spans="1:14">
      <c r="A33" s="4"/>
      <c r="B33" s="93">
        <v>26</v>
      </c>
      <c r="C33" s="94" t="s">
        <v>49</v>
      </c>
      <c r="D33" s="95">
        <v>2</v>
      </c>
      <c r="E33" s="40">
        <v>0</v>
      </c>
      <c r="F33" s="96">
        <v>103867</v>
      </c>
      <c r="G33" s="97" t="s">
        <v>117</v>
      </c>
      <c r="H33" s="97" t="s">
        <v>116</v>
      </c>
      <c r="I33" s="98" t="s">
        <v>115</v>
      </c>
      <c r="J33" s="97" t="s">
        <v>118</v>
      </c>
      <c r="K33" s="100" t="s">
        <v>48</v>
      </c>
      <c r="L33" s="97" t="s">
        <v>103</v>
      </c>
      <c r="M33" s="98" t="s">
        <v>104</v>
      </c>
      <c r="N33" s="99"/>
    </row>
    <row r="34" spans="1:14">
      <c r="A34" s="4"/>
      <c r="B34" s="116">
        <v>27</v>
      </c>
      <c r="C34" s="117" t="s">
        <v>170</v>
      </c>
      <c r="D34" s="118">
        <v>4</v>
      </c>
      <c r="E34" s="40">
        <v>0</v>
      </c>
      <c r="F34" s="119">
        <v>36044</v>
      </c>
      <c r="G34" s="120" t="s">
        <v>177</v>
      </c>
      <c r="H34" s="120" t="s">
        <v>176</v>
      </c>
      <c r="I34" s="121" t="s">
        <v>175</v>
      </c>
      <c r="J34" s="120" t="s">
        <v>180</v>
      </c>
      <c r="K34" s="122" t="s">
        <v>171</v>
      </c>
      <c r="L34" s="120" t="s">
        <v>178</v>
      </c>
      <c r="M34" s="121" t="s">
        <v>179</v>
      </c>
      <c r="N34" s="123"/>
    </row>
    <row r="35" spans="1:14">
      <c r="A35" s="4"/>
      <c r="B35" s="124">
        <v>28</v>
      </c>
      <c r="C35" s="125" t="s">
        <v>185</v>
      </c>
      <c r="D35" s="126">
        <v>1</v>
      </c>
      <c r="E35" s="40">
        <v>0</v>
      </c>
      <c r="F35" s="127">
        <v>9299</v>
      </c>
      <c r="G35" s="128" t="s">
        <v>187</v>
      </c>
      <c r="H35" s="128" t="s">
        <v>186</v>
      </c>
      <c r="I35" s="129" t="s">
        <v>152</v>
      </c>
      <c r="J35" s="128" t="s">
        <v>190</v>
      </c>
      <c r="K35" s="130" t="s">
        <v>184</v>
      </c>
      <c r="L35" s="128" t="s">
        <v>188</v>
      </c>
      <c r="M35" s="129" t="s">
        <v>189</v>
      </c>
      <c r="N35" s="131"/>
    </row>
    <row r="36" spans="1:14">
      <c r="A36" s="4"/>
      <c r="B36" s="19"/>
      <c r="C36" s="20"/>
      <c r="D36" s="21"/>
      <c r="E36" s="22"/>
      <c r="F36" s="23"/>
      <c r="G36" s="24"/>
      <c r="H36" s="24"/>
      <c r="I36" s="25"/>
      <c r="J36" s="24"/>
      <c r="K36" s="26"/>
      <c r="L36" s="24"/>
      <c r="M36" s="25"/>
      <c r="N36" s="27"/>
    </row>
    <row r="37" spans="1:14">
      <c r="A37" s="4"/>
      <c r="B37" s="107"/>
      <c r="C37" s="108" t="s">
        <v>192</v>
      </c>
      <c r="D37" s="109"/>
      <c r="E37" s="110"/>
      <c r="F37" s="111"/>
      <c r="G37" s="112" t="s">
        <v>158</v>
      </c>
      <c r="H37" s="112"/>
      <c r="I37" s="113"/>
      <c r="J37" s="112"/>
      <c r="K37" s="114" t="s">
        <v>159</v>
      </c>
      <c r="L37" s="112"/>
      <c r="M37" s="113"/>
      <c r="N37" s="115"/>
    </row>
    <row r="38" spans="1:14" ht="15.75" thickBot="1">
      <c r="A38" s="4"/>
      <c r="B38" s="7"/>
      <c r="C38" s="17" t="s">
        <v>8</v>
      </c>
      <c r="D38" s="18">
        <f>SUM(D8:D37)</f>
        <v>60</v>
      </c>
      <c r="E38" s="8"/>
      <c r="F38" s="6"/>
      <c r="G38" s="5"/>
      <c r="H38" s="5"/>
      <c r="I38" s="5"/>
      <c r="J38" s="5"/>
      <c r="K38" s="9"/>
      <c r="L38" s="10"/>
      <c r="M38" s="10"/>
      <c r="N38" s="11"/>
    </row>
    <row r="39" spans="1:14">
      <c r="H39" s="3"/>
    </row>
  </sheetData>
  <mergeCells count="1">
    <mergeCell ref="B2:K2"/>
  </mergeCells>
  <hyperlinks>
    <hyperlink ref="K8" r:id="rId1"/>
    <hyperlink ref="K9" r:id="rId2"/>
    <hyperlink ref="K21" r:id="rId3" display="http://www.digikey.com/product-detail/en/EMK107B7105KA-T/587-1241-1-ND/931018"/>
    <hyperlink ref="K27" r:id="rId4" display="http://www.digikey.com/product-detail/en/ERJ-3EKF22R0V/P22.0HCT-ND/1746745"/>
    <hyperlink ref="K25" r:id="rId5" display="http://www.digikey.com/product-detail/en/ERJ-3EKF9103V/P910KHCT-ND/1746814"/>
    <hyperlink ref="K19" r:id="rId6" display="http://www.digikey.com/product-detail/en/EMK107ABJ475KA-T/587-2786-1-ND/2573980"/>
    <hyperlink ref="K31" r:id="rId7" display="http://www.digikey.com/product-detail/en/AO3401A/785-1001-1-ND/1855943"/>
    <hyperlink ref="K10" r:id="rId8"/>
    <hyperlink ref="K11" r:id="rId9"/>
    <hyperlink ref="K12" r:id="rId10"/>
    <hyperlink ref="K13" r:id="rId11" display="http://www.digikey.com/product-detail/en/NX3225SA-16.000000MHZ-STD-CSR-1/644-1049-1-ND/1128921"/>
    <hyperlink ref="K14" r:id="rId12" display="http://www.digikey.com/product-detail/en/IP4234CZ6,125/568-5869-1-ND/2531156"/>
    <hyperlink ref="K15" r:id="rId13" display="http://www.digikey.com/product-detail/en/BLM18KG601SN1D/490-5258-1-ND/1982781"/>
    <hyperlink ref="K17" r:id="rId14" display="http://www.digikey.com/product-detail/en/CL31A226KAHNNNE/1276-3047-1-ND/3891133"/>
    <hyperlink ref="K18" r:id="rId15" display="http://www.digikey.com/product-detail/en/GRM31CR61E106KA12L/490-3373-1-ND/702914"/>
    <hyperlink ref="K20" r:id="rId16"/>
    <hyperlink ref="K22" r:id="rId17" display="http://www.digikey.com/product-detail/en/C1608X7R1C224K080AC/445-1318-1-ND/567690"/>
    <hyperlink ref="K23" r:id="rId18" display="http://www.digikey.com/product-detail/en/GRM188R71H104KA93D/490-1519-1-ND/587854"/>
    <hyperlink ref="K24" r:id="rId19" display="http://www.digikey.com/product-detail/en/C1608C0G1H180J080AA/445-1272-1-ND/567674"/>
    <hyperlink ref="K26" r:id="rId20" display="http://www.digikey.com/product-detail/en/ERJ-3EKF1002V/P10.0KHCT-ND/198102"/>
    <hyperlink ref="K28" r:id="rId21" display="http://www.digikey.com/product-detail/en/742C163472JP/742C163472JPCT-ND/1124497"/>
    <hyperlink ref="K29" r:id="rId22" display="http://www.digikey.com/product-detail/en/742C163222JP/742C163222JPCT-ND/1124507"/>
    <hyperlink ref="K30" r:id="rId23" display="http://www.digikey.com/product-detail/en/2N7002ET1G/2N7002ET1GOSCT-ND/1967029"/>
    <hyperlink ref="K32" r:id="rId24" display="http://www.digikey.com/product-detail/en/ST662ACD-TR/497-6542-1-ND/1865353"/>
    <hyperlink ref="K37" r:id="rId25"/>
    <hyperlink ref="K16" r:id="rId26"/>
    <hyperlink ref="K33" r:id="rId27" display="http://www.digikey.com/product-detail/en/lite-on-inc/LTST-S220TBKT/160-2032-1-ND/3711395"/>
    <hyperlink ref="K34" r:id="rId28" display="http://www.digikey.com/product-detail/en/panasonic-electronic-components/ERJ-3EKF91R0V/P91.0HCT-ND/1746815"/>
    <hyperlink ref="K35" r:id="rId29"/>
  </hyperlinks>
  <pageMargins left="0.7" right="0.7" top="0.75" bottom="0.75" header="0.3" footer="0.3"/>
  <pageSetup paperSize="9" scale="49" orientation="landscape" r:id="rId30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limpkin</cp:lastModifiedBy>
  <cp:lastPrinted>2012-07-30T12:19:09Z</cp:lastPrinted>
  <dcterms:created xsi:type="dcterms:W3CDTF">2008-02-20T11:26:06Z</dcterms:created>
  <dcterms:modified xsi:type="dcterms:W3CDTF">2016-04-19T19:19:07Z</dcterms:modified>
</cp:coreProperties>
</file>