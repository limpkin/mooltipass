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5" i="1"/>
  <c r="F14"/>
  <c r="F13"/>
  <c r="F12"/>
  <c r="F11"/>
  <c r="F10"/>
  <c r="F9"/>
  <c r="D17"/>
  <c r="F16"/>
  <c r="F17" l="1"/>
</calcChain>
</file>

<file path=xl/sharedStrings.xml><?xml version="1.0" encoding="utf-8"?>
<sst xmlns="http://schemas.openxmlformats.org/spreadsheetml/2006/main" count="62" uniqueCount="59">
  <si>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</si>
  <si>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</si>
  <si>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</si>
  <si>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</si>
  <si>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</si>
  <si>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</si>
  <si>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</si>
  <si>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</si>
  <si>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</si>
  <si>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</si>
  <si>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</si>
  <si>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</si>
  <si>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</si>
  <si>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</si>
  <si>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</si>
  <si>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</si>
  <si>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</si>
  <si>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</si>
  <si>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</si>
  <si>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http://www.digikey.com/product-detail/en/LTST-C230TBKT/160-1889-1-ND/3306146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</si>
  <si>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</si>
  <si>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</si>
  <si>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</si>
  <si>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</si>
  <si>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</si>
  <si>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</si>
  <si>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</si>
  <si>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</si>
  <si>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</si>
  <si>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</si>
  <si>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</si>
  <si>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</si>
  <si>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</si>
  <si>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</si>
  <si>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</si>
  <si>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</si>
  <si>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</si>
  <si>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Lite-On Inc</t>
  </si>
  <si>
    <t>LTST-C230TBKT</t>
  </si>
  <si>
    <t>LED BLUE CLEAR 1206 REV MT SMD</t>
  </si>
  <si>
    <t>1206 (3216 Metric)</t>
  </si>
  <si>
    <t>Murata Electronics North America</t>
  </si>
  <si>
    <t>GRM188R71H104KA93D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</si>
  <si>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</si>
  <si>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</si>
  <si>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</si>
  <si>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</si>
  <si>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</si>
  <si>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</si>
  <si>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</si>
  <si>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</si>
  <si>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</si>
  <si>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</si>
  <si>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</si>
  <si>
    <t>R9 R10 R11 R12</t>
  </si>
  <si>
    <t>R1 R2</t>
  </si>
  <si>
    <t>RES 4.7K OHM 1/10W 1% 0603 SMD</t>
  </si>
  <si>
    <t>ERJ-3EKF4701V</t>
  </si>
  <si>
    <t>http://www.digikey.com/product-detail/en/ERJ-3EKF4701V/P4.70KHCT-ND/1746782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</si>
</sst>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ERJ-3EKF4701V/P4.70KHCT-ND/1746782" TargetMode="External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7500V/P750HCT-ND/198504" TargetMode="External"/><Relationship Id="rId2" Type="http://schemas.openxmlformats.org/officeDocument/2006/relationships/hyperlink" Target="http://www.digikey.com/product-detail/en/LTST-C230TBKT/160-1889-1-ND/3306146" TargetMode="External"/><Relationship Id="rId1" Type="http://schemas.openxmlformats.org/officeDocument/2006/relationships/hyperlink" Target="http://www.digikey.com/product-detail/en/DF9-9P-1V(32)/H10409CT-ND/1015398" TargetMode="External"/><Relationship Id="rId6" Type="http://schemas.openxmlformats.org/officeDocument/2006/relationships/hyperlink" Target="http://www.digikey.com/product-detail/en/ERJ-3EKF3900V/P390HCT-ND/174677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ERJ-3EKF1002V/P10.0KHCT-ND/198102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://www.digikey.com/product-detail/en/GRM188R71H104KA93D/490-1519-1-ND/587854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3"/>
  <sheetViews>
    <sheetView tabSelected="1" zoomScale="130" zoomScaleNormal="130" workbookViewId="0">
      <selection activeCell="I16" sqref="I16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23</v>
      </c>
      <c r="D9" s="8">
        <v>1</v>
      </c>
      <c r="E9" s="9">
        <v>1.3273200000000001</v>
      </c>
      <c r="F9" s="8">
        <f>D9*E9</f>
        <v>1.3273200000000001</v>
      </c>
      <c r="G9" s="35">
        <v>4563</v>
      </c>
      <c r="H9" s="9" t="s">
        <v>32</v>
      </c>
      <c r="I9" s="9" t="s">
        <v>31</v>
      </c>
      <c r="J9" s="8" t="s">
        <v>30</v>
      </c>
      <c r="K9" s="9" t="s">
        <v>33</v>
      </c>
      <c r="L9" s="13" t="s">
        <v>20</v>
      </c>
    </row>
    <row r="10" spans="1:14">
      <c r="A10" s="4"/>
      <c r="B10" s="10">
        <v>2</v>
      </c>
      <c r="C10" s="16" t="s">
        <v>24</v>
      </c>
      <c r="D10" s="8">
        <v>1</v>
      </c>
      <c r="E10" s="9">
        <v>0.65339999999999998</v>
      </c>
      <c r="F10" s="8">
        <f>D10*E10</f>
        <v>0.65339999999999998</v>
      </c>
      <c r="G10" s="35">
        <v>1755</v>
      </c>
      <c r="H10" s="9" t="s">
        <v>36</v>
      </c>
      <c r="I10" s="9" t="s">
        <v>35</v>
      </c>
      <c r="J10" s="8" t="s">
        <v>34</v>
      </c>
      <c r="K10" s="9"/>
      <c r="L10" s="13" t="s">
        <v>22</v>
      </c>
    </row>
    <row r="11" spans="1:14" ht="25.5">
      <c r="A11" s="4"/>
      <c r="B11" s="10">
        <v>3</v>
      </c>
      <c r="C11" s="18" t="s">
        <v>25</v>
      </c>
      <c r="D11" s="19">
        <v>10</v>
      </c>
      <c r="E11" s="20">
        <v>9.6750000000000003E-2</v>
      </c>
      <c r="F11" s="8">
        <f>D11*E11</f>
        <v>0.96750000000000003</v>
      </c>
      <c r="G11" s="36">
        <v>30527</v>
      </c>
      <c r="H11" s="20" t="s">
        <v>39</v>
      </c>
      <c r="I11" s="20" t="s">
        <v>38</v>
      </c>
      <c r="J11" s="19" t="s">
        <v>37</v>
      </c>
      <c r="K11" s="20" t="s">
        <v>40</v>
      </c>
      <c r="L11" s="13" t="s">
        <v>19</v>
      </c>
    </row>
    <row r="12" spans="1:14">
      <c r="A12" s="4"/>
      <c r="B12" s="10">
        <v>4</v>
      </c>
      <c r="C12" s="16" t="s">
        <v>27</v>
      </c>
      <c r="D12" s="8">
        <v>1</v>
      </c>
      <c r="E12" s="9">
        <v>9.9000000000000008E-3</v>
      </c>
      <c r="F12" s="8">
        <f>D12*E12</f>
        <v>9.9000000000000008E-3</v>
      </c>
      <c r="G12" s="35">
        <v>1519603</v>
      </c>
      <c r="H12" s="9" t="s">
        <v>43</v>
      </c>
      <c r="I12" s="23" t="s">
        <v>42</v>
      </c>
      <c r="J12" s="9" t="s">
        <v>41</v>
      </c>
      <c r="K12" s="9" t="s">
        <v>44</v>
      </c>
      <c r="L12" s="13" t="s">
        <v>26</v>
      </c>
    </row>
    <row r="13" spans="1:14">
      <c r="A13" s="4"/>
      <c r="B13" s="10">
        <v>5</v>
      </c>
      <c r="C13" s="18" t="s">
        <v>55</v>
      </c>
      <c r="D13" s="19">
        <v>2</v>
      </c>
      <c r="E13" s="20">
        <v>3.5100000000000001E-3</v>
      </c>
      <c r="F13" s="8">
        <f>D13*E13</f>
        <v>7.0200000000000002E-3</v>
      </c>
      <c r="G13" s="36">
        <v>4828444</v>
      </c>
      <c r="H13" s="20" t="s">
        <v>47</v>
      </c>
      <c r="I13" s="20" t="s">
        <v>46</v>
      </c>
      <c r="J13" s="19" t="s">
        <v>45</v>
      </c>
      <c r="K13" s="20">
        <v>603</v>
      </c>
      <c r="L13" s="13" t="s">
        <v>21</v>
      </c>
    </row>
    <row r="14" spans="1:14">
      <c r="A14" s="4"/>
      <c r="B14" s="10">
        <v>6</v>
      </c>
      <c r="C14" s="18" t="s">
        <v>54</v>
      </c>
      <c r="D14" s="19">
        <v>4</v>
      </c>
      <c r="E14" s="20">
        <v>3.5100000000000001E-3</v>
      </c>
      <c r="F14" s="8">
        <f>D14*E14</f>
        <v>1.404E-2</v>
      </c>
      <c r="G14" s="36">
        <v>436718</v>
      </c>
      <c r="H14" s="20" t="s">
        <v>56</v>
      </c>
      <c r="I14" s="20" t="s">
        <v>57</v>
      </c>
      <c r="J14" s="19" t="s">
        <v>45</v>
      </c>
      <c r="K14" s="20">
        <v>603</v>
      </c>
      <c r="L14" s="13" t="s">
        <v>58</v>
      </c>
    </row>
    <row r="15" spans="1:14">
      <c r="A15" s="4"/>
      <c r="B15" s="10">
        <v>7</v>
      </c>
      <c r="C15" s="16" t="s">
        <v>29</v>
      </c>
      <c r="D15" s="8">
        <v>2</v>
      </c>
      <c r="E15" s="20">
        <v>3.5100000000000001E-3</v>
      </c>
      <c r="F15" s="8">
        <f>D15*E15</f>
        <v>7.0200000000000002E-3</v>
      </c>
      <c r="G15" s="35">
        <v>198510</v>
      </c>
      <c r="H15" s="9" t="s">
        <v>51</v>
      </c>
      <c r="I15" s="9" t="s">
        <v>50</v>
      </c>
      <c r="J15" s="8" t="s">
        <v>45</v>
      </c>
      <c r="K15" s="9">
        <v>603</v>
      </c>
      <c r="L15" s="13" t="s">
        <v>49</v>
      </c>
    </row>
    <row r="16" spans="1:14">
      <c r="A16" s="4"/>
      <c r="B16" s="10">
        <v>8</v>
      </c>
      <c r="C16" s="18" t="s">
        <v>28</v>
      </c>
      <c r="D16" s="19">
        <v>4</v>
      </c>
      <c r="E16" s="20">
        <v>3.5100000000000001E-3</v>
      </c>
      <c r="F16" s="8">
        <f t="shared" ref="F9:F16" si="0">D16*E16</f>
        <v>1.404E-2</v>
      </c>
      <c r="G16" s="36">
        <v>229818</v>
      </c>
      <c r="H16" s="20" t="s">
        <v>53</v>
      </c>
      <c r="I16" s="20" t="s">
        <v>52</v>
      </c>
      <c r="J16" s="19" t="s">
        <v>45</v>
      </c>
      <c r="K16" s="20">
        <v>603</v>
      </c>
      <c r="L16" s="13" t="s">
        <v>48</v>
      </c>
    </row>
    <row r="17" spans="1:12" ht="15.75" thickBot="1">
      <c r="A17" s="4"/>
      <c r="B17" s="17"/>
      <c r="C17" s="18" t="s">
        <v>18</v>
      </c>
      <c r="D17" s="24">
        <f>SUM(D9:D16)</f>
        <v>25</v>
      </c>
      <c r="E17" s="24"/>
      <c r="F17" s="31">
        <f>SUM(F9:F16)</f>
        <v>3.0002399999999998</v>
      </c>
      <c r="G17" s="12"/>
      <c r="H17" s="11"/>
      <c r="I17" s="11"/>
      <c r="J17" s="11"/>
      <c r="K17" s="11"/>
      <c r="L17" s="14"/>
    </row>
    <row r="18" spans="1:12">
      <c r="A18" s="3"/>
      <c r="B18" s="3"/>
      <c r="C18" s="25" t="s">
        <v>13</v>
      </c>
      <c r="D18" s="28"/>
      <c r="E18" s="28"/>
      <c r="F18" s="32">
        <v>0</v>
      </c>
      <c r="G18" s="3"/>
      <c r="H18" s="3"/>
      <c r="I18" s="3"/>
      <c r="J18" s="3"/>
    </row>
    <row r="19" spans="1:12">
      <c r="A19" s="3"/>
      <c r="B19" s="3"/>
      <c r="C19" s="26" t="s">
        <v>17</v>
      </c>
      <c r="D19" s="29"/>
      <c r="E19" s="29"/>
      <c r="F19" s="33">
        <v>0</v>
      </c>
      <c r="G19" s="3"/>
      <c r="H19" s="3"/>
      <c r="I19" s="3"/>
      <c r="J19" s="3"/>
    </row>
    <row r="20" spans="1:12">
      <c r="C20" s="26" t="s">
        <v>16</v>
      </c>
      <c r="D20" s="29"/>
      <c r="E20" s="29"/>
      <c r="F20" s="33">
        <v>0</v>
      </c>
      <c r="I20" s="3"/>
    </row>
    <row r="21" spans="1:12" ht="15.75" thickBot="1">
      <c r="B21" t="s">
        <v>14</v>
      </c>
      <c r="C21" s="27" t="s">
        <v>15</v>
      </c>
      <c r="D21" s="30"/>
      <c r="E21" s="30"/>
      <c r="F21" s="34">
        <v>0</v>
      </c>
      <c r="I21" s="3"/>
    </row>
    <row r="22" spans="1:12">
      <c r="I22" s="3"/>
    </row>
    <row r="23" spans="1:12">
      <c r="I23" s="3"/>
    </row>
  </sheetData>
  <mergeCells count="1">
    <mergeCell ref="B2:L2"/>
  </mergeCells>
  <hyperlinks>
    <hyperlink ref="L10" r:id="rId1"/>
    <hyperlink ref="L11" r:id="rId2"/>
    <hyperlink ref="L9" r:id="rId3"/>
    <hyperlink ref="L12" r:id="rId4"/>
    <hyperlink ref="L13" r:id="rId5"/>
    <hyperlink ref="L16" r:id="rId6"/>
    <hyperlink ref="L15" r:id="rId7"/>
    <hyperlink ref="L14" r:id="rId8"/>
  </hyperlinks>
  <pageMargins left="0.7" right="0.7" top="0.75" bottom="0.75" header="0.3" footer="0.3"/>
  <pageSetup paperSize="9" scale="49" orientation="landscape" r:id="rId9"/>
  <legacyDrawing r:id="rId10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limpkin</cp:lastModifiedBy>
  <cp:lastPrinted>2012-07-30T12:19:09Z</cp:lastPrinted>
  <dcterms:created xsi:type="dcterms:W3CDTF">2008-02-20T11:26:06Z</dcterms:created>
  <dcterms:modified xsi:type="dcterms:W3CDTF">2014-08-02T20:40:15Z</dcterms:modified>
</cp:coreProperties>
</file>