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14" i="1"/>
  <c r="D14"/>
  <c r="F13"/>
  <c r="F12"/>
  <c r="F11"/>
  <c r="F10"/>
  <c r="F9"/>
  <c r="F8"/>
  <c r="F7"/>
</calcChain>
</file>

<file path=xl/sharedStrings.xml><?xml version="1.0" encoding="utf-8"?>
<sst xmlns="http://schemas.openxmlformats.org/spreadsheetml/2006/main" count="52" uniqueCount="50">
  <si>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</si>
  <si>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</si>
  <si>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</si>
  <si>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</si>
  <si>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</si>
  <si>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</si>
  <si>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</si>
  <si>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</si>
  <si>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</si>
  <si>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</si>
  <si>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</si>
  <si>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</si>
  <si>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</si>
  <si>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Total:</t>
  </si>
  <si>
    <t>http://www.digikey.com/product-detail/en/AT42QT2120-MMHR/AT42QT2120-MMHRCT-ND/3678702</t>
  </si>
  <si>
    <t>http://www.digikey.com/product-detail/en/ERJ-3EKF1002V/P10.0KHCT-ND/198102</t>
  </si>
  <si>
    <t>http://www.digikey.com/product-detail/en/DF9-9P-1V(32)/H10409CT-ND/1015398</t>
  </si>
  <si>
    <t>U2</t>
  </si>
  <si>
    <t>U1</t>
  </si>
  <si>
    <t>D1 D2 D3 D4 D5 D6 D7 D8 D9 D10</t>
  </si>
  <si>
    <t>R1 R2 R9 R10 R11 R12</t>
  </si>
  <si>
    <t>http://www.digikey.com/product-detail/en/GRM188R71H104KA93D/490-1519-1-ND/587854</t>
  </si>
  <si>
    <t>C1</t>
  </si>
  <si>
    <t>R13 R14 R15 R16</t>
  </si>
  <si>
    <t>R17 R18</t>
  </si>
  <si>
    <t>Atmel</t>
  </si>
  <si>
    <t>AT42QT2120-MMHR</t>
  </si>
  <si>
    <t>IC TOUCH SENSOR 12CH 20VQFN</t>
  </si>
  <si>
    <t>20-VQFN (3x3)</t>
  </si>
  <si>
    <t>Hirose Electric Co Ltd</t>
  </si>
  <si>
    <t>DF9-9P-1V(32)</t>
  </si>
  <si>
    <t>CONN HEADER 9POS 1MM SMD TIN</t>
  </si>
  <si>
    <t>1206 (3216 Metric)</t>
  </si>
  <si>
    <t>Murata Electronics North America</t>
  </si>
  <si>
    <t>GRM188R71H104KA93D</t>
  </si>
  <si>
    <t>CAP CER 0.1UF 50V 10% X7R 0603</t>
  </si>
  <si>
    <t>0603 (1608 Metric)</t>
  </si>
  <si>
    <t>Panasonic Electronic Components</t>
  </si>
  <si>
    <t>ERJ-3EKF1002V</t>
  </si>
  <si>
    <t>RES 10K OHM 1/10W 1% 0603 SMD</t>
  </si>
  <si>
    <t>http://www.digikey.com/product-detail/en/ERJ-3EKF3900V/P390HCT-ND/1746771</t>
  </si>
  <si>
    <t>http://www.digikey.com/product-detail/en/ERJ-3EKF7500V/P750HCT-ND/198504</t>
  </si>
  <si>
    <t>ERJ-3EKF7500V</t>
  </si>
  <si>
    <t>RES 750 OHM 1/10W 1% 0603 SMD</t>
  </si>
  <si>
    <t>ERJ-3EKF3900V</t>
  </si>
  <si>
    <t>RES 390 OHM 1/10W 1% 0603 SMD</t>
  </si>
  <si>
    <t>http://www.digikey.com/product-detail/en/597-6901-607F/350-2306-1-ND/2224774</t>
  </si>
  <si>
    <t>Dialight</t>
  </si>
  <si>
    <t>597-6901-607F</t>
  </si>
  <si>
    <t>LED WHITE ROUND DIFFUSED 1206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</si>
</sst>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digikey.com/product-detail/en/AT42QT2120-MMHR/AT42QT2120-MMHRCT-ND/3678702" TargetMode="External"/><Relationship Id="rId7" Type="http://schemas.openxmlformats.org/officeDocument/2006/relationships/hyperlink" Target="http://www.digikey.com/product-detail/en/ERJ-3EKF7500V/P750HCT-ND/198504" TargetMode="External"/><Relationship Id="rId2" Type="http://schemas.openxmlformats.org/officeDocument/2006/relationships/hyperlink" Target="http://www.digikey.com/product-detail/en/597-6901-607F/350-2306-1-ND/2224774" TargetMode="External"/><Relationship Id="rId1" Type="http://schemas.openxmlformats.org/officeDocument/2006/relationships/hyperlink" Target="http://www.digikey.com/product-detail/en/DF9-9P-1V(32)/H10409CT-ND/1015398" TargetMode="External"/><Relationship Id="rId6" Type="http://schemas.openxmlformats.org/officeDocument/2006/relationships/hyperlink" Target="http://www.digikey.com/product-detail/en/ERJ-3EKF3900V/P390HCT-ND/1746771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GRM188R71H104KA93D/490-1519-1-ND/587854" TargetMode="External"/><Relationship Id="rId4" Type="http://schemas.openxmlformats.org/officeDocument/2006/relationships/hyperlink" Target="http://www.digikey.com/product-detail/en/ERJ-3EKF1002V/P10.0KHCT-ND/19810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20"/>
  <sheetViews>
    <sheetView tabSelected="1" zoomScaleNormal="100" workbookViewId="0">
      <selection activeCell="J26" sqref="J26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7" t="s">
        <v>8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ht="15.75" thickBot="1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ht="15.75" thickBot="1">
      <c r="B5" s="2"/>
      <c r="C5" s="21" t="s">
        <v>9</v>
      </c>
      <c r="D5" s="22">
        <v>1000</v>
      </c>
      <c r="E5" s="2"/>
      <c r="F5" s="2"/>
      <c r="G5" s="2"/>
      <c r="H5" s="2"/>
      <c r="I5" s="2"/>
      <c r="J5" s="2"/>
      <c r="K5" s="2"/>
      <c r="L5" s="2"/>
    </row>
    <row r="6" spans="1:14" ht="19.5" customHeight="1">
      <c r="B6" s="5" t="s">
        <v>0</v>
      </c>
      <c r="C6" s="15" t="s">
        <v>7</v>
      </c>
      <c r="D6" s="6" t="s">
        <v>1</v>
      </c>
      <c r="E6" s="6" t="s">
        <v>12</v>
      </c>
      <c r="F6" s="6" t="s">
        <v>10</v>
      </c>
      <c r="G6" s="6" t="s">
        <v>11</v>
      </c>
      <c r="H6" s="6" t="s">
        <v>2</v>
      </c>
      <c r="I6" s="6" t="s">
        <v>3</v>
      </c>
      <c r="J6" s="6" t="s">
        <v>4</v>
      </c>
      <c r="K6" s="6" t="s">
        <v>6</v>
      </c>
      <c r="L6" s="7" t="s">
        <v>5</v>
      </c>
    </row>
    <row r="7" spans="1:14">
      <c r="A7" s="4"/>
      <c r="B7" s="10">
        <v>1</v>
      </c>
      <c r="C7" s="16" t="s">
        <v>17</v>
      </c>
      <c r="D7" s="8">
        <v>1</v>
      </c>
      <c r="E7" s="9">
        <v>1.6478999999999999</v>
      </c>
      <c r="F7" s="8">
        <f t="shared" ref="F7:F13" si="0">D7*E7</f>
        <v>1.6478999999999999</v>
      </c>
      <c r="G7" s="35">
        <v>4563</v>
      </c>
      <c r="H7" s="9" t="s">
        <v>27</v>
      </c>
      <c r="I7" s="9" t="s">
        <v>26</v>
      </c>
      <c r="J7" s="8" t="s">
        <v>25</v>
      </c>
      <c r="K7" s="9" t="s">
        <v>28</v>
      </c>
      <c r="L7" s="13" t="s">
        <v>14</v>
      </c>
    </row>
    <row r="8" spans="1:14">
      <c r="A8" s="4"/>
      <c r="B8" s="10">
        <v>2</v>
      </c>
      <c r="C8" s="16" t="s">
        <v>18</v>
      </c>
      <c r="D8" s="8">
        <v>1</v>
      </c>
      <c r="E8" s="9">
        <v>0.6966</v>
      </c>
      <c r="F8" s="8">
        <f t="shared" si="0"/>
        <v>0.6966</v>
      </c>
      <c r="G8" s="35">
        <v>1755</v>
      </c>
      <c r="H8" s="9" t="s">
        <v>31</v>
      </c>
      <c r="I8" s="9" t="s">
        <v>30</v>
      </c>
      <c r="J8" s="8" t="s">
        <v>29</v>
      </c>
      <c r="K8" s="9"/>
      <c r="L8" s="13" t="s">
        <v>16</v>
      </c>
    </row>
    <row r="9" spans="1:14" ht="25.5">
      <c r="A9" s="4"/>
      <c r="B9" s="10">
        <v>1</v>
      </c>
      <c r="C9" s="18" t="s">
        <v>19</v>
      </c>
      <c r="D9" s="19">
        <v>10</v>
      </c>
      <c r="E9" s="20">
        <v>0.69299999999999995</v>
      </c>
      <c r="F9" s="8">
        <f>D9*E9</f>
        <v>6.93</v>
      </c>
      <c r="G9" s="36">
        <v>92639</v>
      </c>
      <c r="H9" s="20" t="s">
        <v>49</v>
      </c>
      <c r="I9" s="20" t="s">
        <v>48</v>
      </c>
      <c r="J9" s="19" t="s">
        <v>47</v>
      </c>
      <c r="K9" s="20" t="s">
        <v>32</v>
      </c>
      <c r="L9" s="13" t="s">
        <v>46</v>
      </c>
    </row>
    <row r="10" spans="1:14">
      <c r="A10" s="4"/>
      <c r="B10" s="10">
        <v>2</v>
      </c>
      <c r="C10" s="16" t="s">
        <v>22</v>
      </c>
      <c r="D10" s="8">
        <v>1</v>
      </c>
      <c r="E10" s="9">
        <v>0.1</v>
      </c>
      <c r="F10" s="8">
        <f>D10*E10</f>
        <v>0.1</v>
      </c>
      <c r="G10" s="35">
        <v>1519603</v>
      </c>
      <c r="H10" s="9" t="s">
        <v>35</v>
      </c>
      <c r="I10" s="23" t="s">
        <v>34</v>
      </c>
      <c r="J10" s="9" t="s">
        <v>33</v>
      </c>
      <c r="K10" s="9" t="s">
        <v>36</v>
      </c>
      <c r="L10" s="13" t="s">
        <v>21</v>
      </c>
    </row>
    <row r="11" spans="1:14">
      <c r="A11" s="4"/>
      <c r="B11" s="10">
        <v>3</v>
      </c>
      <c r="C11" s="18" t="s">
        <v>20</v>
      </c>
      <c r="D11" s="19">
        <v>6</v>
      </c>
      <c r="E11" s="20">
        <v>0.1</v>
      </c>
      <c r="F11" s="8">
        <f>D11*E11</f>
        <v>0.60000000000000009</v>
      </c>
      <c r="G11" s="36">
        <v>4828444</v>
      </c>
      <c r="H11" s="20" t="s">
        <v>39</v>
      </c>
      <c r="I11" s="20" t="s">
        <v>38</v>
      </c>
      <c r="J11" s="19" t="s">
        <v>37</v>
      </c>
      <c r="K11" s="20">
        <v>603</v>
      </c>
      <c r="L11" s="13" t="s">
        <v>15</v>
      </c>
    </row>
    <row r="12" spans="1:14">
      <c r="A12" s="4"/>
      <c r="B12" s="10">
        <v>4</v>
      </c>
      <c r="C12" s="16" t="s">
        <v>24</v>
      </c>
      <c r="D12" s="8">
        <v>2</v>
      </c>
      <c r="E12" s="9">
        <v>0.1</v>
      </c>
      <c r="F12" s="8">
        <f>D12*E12</f>
        <v>0.2</v>
      </c>
      <c r="G12" s="35">
        <v>198510</v>
      </c>
      <c r="H12" s="9" t="s">
        <v>43</v>
      </c>
      <c r="I12" s="9" t="s">
        <v>42</v>
      </c>
      <c r="J12" s="8" t="s">
        <v>37</v>
      </c>
      <c r="K12" s="9">
        <v>603</v>
      </c>
      <c r="L12" s="13" t="s">
        <v>41</v>
      </c>
    </row>
    <row r="13" spans="1:14">
      <c r="A13" s="4"/>
      <c r="B13" s="10">
        <v>5</v>
      </c>
      <c r="C13" s="18" t="s">
        <v>23</v>
      </c>
      <c r="D13" s="19">
        <v>4</v>
      </c>
      <c r="E13" s="20">
        <v>0.1</v>
      </c>
      <c r="F13" s="8">
        <f>D13*E13</f>
        <v>0.4</v>
      </c>
      <c r="G13" s="36">
        <v>229818</v>
      </c>
      <c r="H13" s="20" t="s">
        <v>45</v>
      </c>
      <c r="I13" s="20" t="s">
        <v>44</v>
      </c>
      <c r="J13" s="19" t="s">
        <v>37</v>
      </c>
      <c r="K13" s="20">
        <v>603</v>
      </c>
      <c r="L13" s="13" t="s">
        <v>40</v>
      </c>
    </row>
    <row r="14" spans="1:14" ht="15.75" thickBot="1">
      <c r="A14" s="4"/>
      <c r="B14" s="17"/>
      <c r="C14" s="18" t="s">
        <v>13</v>
      </c>
      <c r="D14" s="24">
        <f>SUM(D9:D13)</f>
        <v>23</v>
      </c>
      <c r="E14" s="24"/>
      <c r="F14" s="31">
        <f>SUM(F9:F13)</f>
        <v>8.2299999999999986</v>
      </c>
      <c r="G14" s="12"/>
      <c r="H14" s="11"/>
      <c r="I14" s="11"/>
      <c r="J14" s="11"/>
      <c r="K14" s="11"/>
      <c r="L14" s="14"/>
    </row>
    <row r="15" spans="1:14">
      <c r="A15" s="3"/>
      <c r="B15" s="3"/>
      <c r="C15" s="25"/>
      <c r="D15" s="28"/>
      <c r="E15" s="28"/>
      <c r="F15" s="32">
        <v>3.0822000000000003</v>
      </c>
      <c r="G15" s="3"/>
      <c r="H15" s="3"/>
      <c r="I15" s="3"/>
      <c r="J15" s="3"/>
    </row>
    <row r="16" spans="1:14">
      <c r="A16" s="3"/>
      <c r="B16" s="3"/>
      <c r="C16" s="26"/>
      <c r="D16" s="29"/>
      <c r="E16" s="29"/>
      <c r="F16" s="33">
        <v>3.0233199999999996</v>
      </c>
      <c r="G16" s="3"/>
      <c r="H16" s="3"/>
      <c r="I16" s="3"/>
      <c r="J16" s="3"/>
    </row>
    <row r="17" spans="3:9">
      <c r="C17" s="26"/>
      <c r="D17" s="29"/>
      <c r="E17" s="29"/>
      <c r="F17" s="33">
        <v>3.0220199999999995</v>
      </c>
      <c r="I17" s="3"/>
    </row>
    <row r="18" spans="3:9" ht="15.75" thickBot="1">
      <c r="C18" s="27"/>
      <c r="D18" s="30"/>
      <c r="E18" s="30"/>
      <c r="F18" s="34">
        <v>3.0220199999999995</v>
      </c>
      <c r="I18" s="3"/>
    </row>
    <row r="19" spans="3:9">
      <c r="I19" s="3"/>
    </row>
    <row r="20" spans="3:9">
      <c r="I20" s="3"/>
    </row>
  </sheetData>
  <mergeCells count="1">
    <mergeCell ref="B2:L2"/>
  </mergeCells>
  <hyperlinks>
    <hyperlink ref="L8" r:id="rId1"/>
    <hyperlink ref="L9" r:id="rId2"/>
    <hyperlink ref="L7" r:id="rId3"/>
    <hyperlink ref="L11" r:id="rId4"/>
    <hyperlink ref="L10" r:id="rId5"/>
    <hyperlink ref="L13" r:id="rId6"/>
    <hyperlink ref="L12" r:id="rId7"/>
  </hyperlinks>
  <pageMargins left="0.7" right="0.7" top="0.75" bottom="0.75" header="0.3" footer="0.3"/>
  <pageSetup paperSize="9" scale="49" orientation="landscape" r:id="rId8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2014-06-21T12:00:07Z</dcterms:modified>
</cp:coreProperties>
</file>