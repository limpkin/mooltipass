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6" windowWidth="23256" windowHeight="13176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37" i="1" l="1"/>
  <c r="B37" i="1"/>
  <c r="B38" i="1" s="1"/>
  <c r="F25" i="1"/>
  <c r="B9" i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8" i="1"/>
  <c r="F14" i="1" l="1"/>
  <c r="F15" i="1"/>
  <c r="F16" i="1"/>
  <c r="D39" i="1"/>
  <c r="F38" i="1"/>
  <c r="F36" i="1"/>
  <c r="F35" i="1"/>
  <c r="F34" i="1"/>
  <c r="F33" i="1"/>
  <c r="F32" i="1"/>
  <c r="F31" i="1"/>
  <c r="F30" i="1"/>
  <c r="F29" i="1"/>
  <c r="F28" i="1"/>
  <c r="F27" i="1"/>
  <c r="F26" i="1"/>
  <c r="F24" i="1"/>
  <c r="F23" i="1"/>
  <c r="F22" i="1"/>
  <c r="F21" i="1"/>
  <c r="F20" i="1"/>
  <c r="F19" i="1"/>
  <c r="F18" i="1"/>
  <c r="F17" i="1"/>
  <c r="F13" i="1"/>
  <c r="F12" i="1"/>
  <c r="F11" i="1"/>
  <c r="F10" i="1"/>
  <c r="F9" i="1"/>
  <c r="F8" i="1"/>
  <c r="F7" i="1"/>
  <c r="F39" i="1" l="1"/>
</calcChain>
</file>

<file path=xl/sharedStrings.xml><?xml version="1.0" encoding="utf-8"?>
<sst xmlns="http://schemas.openxmlformats.org/spreadsheetml/2006/main" count="173" uniqueCount="149">
  <si>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</si>
  <si>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</si>
  <si>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</si>
  <si>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</si>
  <si>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</si>
  <si>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</si>
  <si>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</si>
  <si>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</si>
  <si>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</si>
  <si>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</si>
  <si>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</si>
  <si>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</si>
  <si>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</si>
  <si>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</si>
  <si>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</si>
  <si>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 xml:space="preserve"> 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</si>
  <si>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</si>
  <si>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</si>
  <si>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</si>
  <si>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</si>
  <si>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</si>
  <si>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</si>
  <si>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</si>
  <si>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</si>
  <si>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</si>
  <si>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</si>
  <si>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</si>
  <si>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</si>
  <si>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</si>
  <si>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</si>
  <si>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</si>
  <si>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</si>
  <si>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</si>
  <si>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http://www.digikey.com/product-detail/en/2N7002ET1G/2N7002ET1GOSCT-ND/1967029</t>
  </si>
  <si>
    <t>http://www.digikey.com/product-detail/en/AO3401A/785-1001-1-ND/1855943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</si>
  <si>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</si>
  <si>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</si>
  <si>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</si>
  <si>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</si>
  <si>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</si>
  <si>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</si>
  <si>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</si>
  <si>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</si>
  <si>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CONN FPC/FFC 30POS .5MM R/A SMD</t>
  </si>
  <si>
    <t>C7 C19 C21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</si>
  <si>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</si>
  <si>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</si>
  <si>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</si>
  <si>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</si>
  <si>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</si>
  <si>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</si>
  <si>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</si>
  <si>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</si>
  <si>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CAP CER 4.7UF 16V 10% X5R 0603</t>
  </si>
  <si>
    <t>0603 (1608 Metric)</t>
  </si>
  <si>
    <t>CAP CER 0.1UF 50V 10% X7R 0603</t>
  </si>
  <si>
    <t>CAP CER 1UF 16V 10% X7R 0603</t>
  </si>
  <si>
    <t>C23 C27</t>
  </si>
  <si>
    <t>C24 C26</t>
  </si>
  <si>
    <t>CAP CER 0.22UF 16V 10% X7R 0603</t>
  </si>
  <si>
    <t>CAP CER 18PF 50V 5% NP0 0603</t>
  </si>
  <si>
    <t>R2</t>
  </si>
  <si>
    <t>http://www.digikey.com/product-detail/en/BLM18KG601SN1D/490-5258-1-ND/1982781</t>
  </si>
  <si>
    <t>R3</t>
  </si>
  <si>
    <t>R8 R9</t>
  </si>
  <si>
    <t>RES 620K OHM 1/10W 1% 0603 SMD</t>
  </si>
  <si>
    <t>RES 10K OHM 1/10W 1% 0603 SMD</t>
  </si>
  <si>
    <t>RES 49.9 OHM 1/4W 1% 1206 SMD</t>
  </si>
  <si>
    <t>X1</t>
  </si>
  <si>
    <t>BLM18KG601SN1D</t>
  </si>
  <si>
    <t>FERRITE CHIP 600 OHM 1300MA 0603</t>
  </si>
  <si>
    <t>4-SMD, No Lead (DFN, LCC)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</si>
  <si>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</si>
  <si>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</si>
  <si>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</si>
  <si>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</si>
  <si>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</si>
  <si>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D1</t>
  </si>
  <si>
    <t>DIODE GEN PURP 1KV 1A MINISMA</t>
  </si>
  <si>
    <t>Mini SMA/SOD-123</t>
  </si>
  <si>
    <t>Adesto Technologies</t>
  </si>
  <si>
    <t>8-SOIC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</si>
  <si>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</si>
  <si>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</si>
  <si>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</si>
  <si>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</si>
  <si>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</si>
  <si>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CAP CER 10UF 25V 10% X5R 1206</t>
  </si>
  <si>
    <t>1206 (3216 Metric)</t>
  </si>
  <si>
    <t>http://www.digikey.com/product-detail/en/7312P0225A13LF/609-4481-ND/1527047</t>
  </si>
  <si>
    <t>7312P0225A13LF</t>
  </si>
  <si>
    <t>CONN SMARTCARD 8POS W/COVER SMD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</si>
  <si>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</si>
  <si>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</si>
  <si>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</si>
  <si>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</si>
  <si>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</si>
  <si>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</si>
  <si>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</si>
  <si>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</si>
  <si>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</si>
  <si>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</si>
  <si>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</si>
  <si>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</si>
  <si>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</si>
  <si>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</si>
  <si>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</si>
  <si>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</si>
  <si>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</si>
  <si>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</si>
  <si>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</si>
  <si>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R11 R12</t>
  </si>
  <si>
    <t>RES 2.20K OHM 1/10W 1% 0603 SMD</t>
  </si>
  <si>
    <t>MOSFET P-CH 30V 4A SOT23</t>
  </si>
  <si>
    <t>F1</t>
  </si>
  <si>
    <t>PTC RESTTBLE 0.75A 6V CHIP 1206</t>
  </si>
  <si>
    <t>1206 (3216 Metric), Concave, Long Side Terminals</t>
  </si>
  <si>
    <t>SMD1206P075TF</t>
  </si>
  <si>
    <t>CHINESE MANUFACTURER</t>
  </si>
  <si>
    <t>YSX321SL</t>
  </si>
  <si>
    <t>CRYSTAL 16MHZ 9PF SMD 10ppm</t>
  </si>
  <si>
    <t>http://smart-prototyping.com/Passive-Crystals-SMT-16-00MHz-10ppm-9pF-3225-C13738.html?filter_name=16.00MHz%20%C2%B110ppm</t>
  </si>
  <si>
    <t>Samsung</t>
  </si>
  <si>
    <t>CL31A106KAHNNNE</t>
  </si>
  <si>
    <t>CL10A475KO8NNNC</t>
  </si>
  <si>
    <t>CL10A105K08NNNC</t>
  </si>
  <si>
    <t>CL10B224KA8NNNC</t>
  </si>
  <si>
    <t>CC0603KRX7R9BB104</t>
  </si>
  <si>
    <t>CL10C180JB8NNNC</t>
  </si>
  <si>
    <t>UniOhm</t>
  </si>
  <si>
    <t>0603WAF6203T5E</t>
  </si>
  <si>
    <t>0603WAF1002T5E</t>
  </si>
  <si>
    <t>0603WAF2201T5E</t>
  </si>
  <si>
    <t>1206W4F499JT5E</t>
  </si>
  <si>
    <t>0603WAF220JT5E</t>
  </si>
  <si>
    <t>http://www.kdiode.com/admin/diotech_file/SOD4001~SOD4007.pdf</t>
  </si>
  <si>
    <t>KD</t>
  </si>
  <si>
    <t>SOD4007</t>
  </si>
  <si>
    <t>C1 C3</t>
  </si>
  <si>
    <t>C9 C12</t>
  </si>
  <si>
    <t>CAP CER 22UF 25V 10% X5R 1206</t>
  </si>
  <si>
    <t xml:space="preserve">CL31A226KAHNNNE </t>
  </si>
  <si>
    <t>FB1</t>
  </si>
  <si>
    <t>FB2</t>
  </si>
  <si>
    <t>RES 0 OHM 1/10W 1% 0603 SMD</t>
  </si>
  <si>
    <t>R1 R4 R5 R10 R13</t>
  </si>
  <si>
    <t>IC FLASH 4MBIT 66MHZ 8SOIC</t>
  </si>
  <si>
    <t>AT45DB041E-SHN-T</t>
  </si>
  <si>
    <t>http://www.digikey.com/product-detail/en/AT45DB041E-SHN-T/AT45DB041E-SHN-TCT-ND/4311895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</si>
</sst>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7" fillId="3" borderId="14" xfId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10118194-0001LF/609-4618-1-ND/2785382" TargetMode="External"/><Relationship Id="rId13" Type="http://schemas.openxmlformats.org/officeDocument/2006/relationships/hyperlink" Target="http://www.digikey.com/product-detail/en/M20-7841042/M20-7841042-ND/3919571" TargetMode="External"/><Relationship Id="rId3" Type="http://schemas.openxmlformats.org/officeDocument/2006/relationships/hyperlink" Target="http://www.digikey.com/product-detail/en/IP4234CZ6,125/568-5869-1-ND/2531156" TargetMode="External"/><Relationship Id="rId7" Type="http://schemas.openxmlformats.org/officeDocument/2006/relationships/hyperlink" Target="http://www.digikey.com/product-detail/en/BLM18KG601SN1D/490-5258-1-ND/1982781" TargetMode="External"/><Relationship Id="rId12" Type="http://schemas.openxmlformats.org/officeDocument/2006/relationships/hyperlink" Target="http://www.digikey.com/product-detail/en/M20-7840842/M20-7840842-ND/3919567" TargetMode="External"/><Relationship Id="rId2" Type="http://schemas.openxmlformats.org/officeDocument/2006/relationships/hyperlink" Target="http://www.digikey.com/product-detail/en/AT45DB041E-SHN-T/AT45DB041E-SHN-TCT-ND/4311895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AO3401A/785-1001-1-ND/1855943" TargetMode="External"/><Relationship Id="rId11" Type="http://schemas.openxmlformats.org/officeDocument/2006/relationships/hyperlink" Target="http://www.digikey.com/product-detail/en/M20-7840642/M20-7840642-ND/3919563" TargetMode="External"/><Relationship Id="rId5" Type="http://schemas.openxmlformats.org/officeDocument/2006/relationships/hyperlink" Target="http://www.digikey.com/product-detail/en/2N7002ET1G/2N7002ET1GOSCT-ND/1967029" TargetMode="External"/><Relationship Id="rId15" Type="http://schemas.openxmlformats.org/officeDocument/2006/relationships/hyperlink" Target="http://www.kdiode.com/admin/diotech_file/SOD4001~SOD4007.pdf" TargetMode="External"/><Relationship Id="rId10" Type="http://schemas.openxmlformats.org/officeDocument/2006/relationships/hyperlink" Target="http://www.digikey.com/product-detail/en/DF9-9S-1V(32)/H10397CT-ND/1015386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7312P0225A13LF/609-4481-ND/1527047" TargetMode="External"/><Relationship Id="rId14" Type="http://schemas.openxmlformats.org/officeDocument/2006/relationships/hyperlink" Target="http://smart-prototyping.com/Passive-Crystals-SMT-16-00MHz-10ppm-9pF-3225-C13738.html?filter_name=16.00MHz%20%C2%B110pp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N45"/>
  <sheetViews>
    <sheetView tabSelected="1" topLeftCell="H4" zoomScale="115" zoomScaleNormal="115" workbookViewId="0">
      <selection activeCell="H12" sqref="H12"/>
    </sheetView>
  </sheetViews>
  <sheetFormatPr defaultColWidth="11.5546875" defaultRowHeight="14.4" x14ac:dyDescent="0.3"/>
  <cols>
    <col min="1" max="1" width="1.88671875" customWidth="1"/>
    <col min="2" max="2" width="5.109375" customWidth="1"/>
    <col min="3" max="3" width="25.44140625" customWidth="1"/>
    <col min="4" max="4" width="5.88671875" customWidth="1"/>
    <col min="5" max="5" width="10.6640625" customWidth="1"/>
    <col min="6" max="6" width="11" customWidth="1"/>
    <col min="7" max="7" width="8.88671875" customWidth="1"/>
    <col min="8" max="8" width="36.5546875" customWidth="1"/>
    <col min="9" max="9" width="23.44140625" customWidth="1"/>
    <col min="10" max="10" width="28.44140625" customWidth="1"/>
    <col min="11" max="11" width="18" bestFit="1" customWidth="1"/>
    <col min="12" max="12" width="122.88671875" bestFit="1" customWidth="1"/>
  </cols>
  <sheetData>
    <row r="2" spans="1:14" ht="23.25" customHeight="1" x14ac:dyDescent="0.35">
      <c r="B2" s="39" t="s">
        <v>10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1"/>
      <c r="N2" s="1"/>
    </row>
    <row r="3" spans="1:14" ht="15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15.75" thickBo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ht="15.75" thickBot="1" x14ac:dyDescent="0.3">
      <c r="B5" s="2"/>
      <c r="C5" s="21" t="s">
        <v>11</v>
      </c>
      <c r="D5" s="22">
        <v>1000</v>
      </c>
      <c r="E5" s="2"/>
      <c r="F5" s="2"/>
      <c r="G5" s="2"/>
      <c r="H5" s="2"/>
      <c r="I5" s="2"/>
      <c r="J5" s="2"/>
      <c r="K5" s="2"/>
      <c r="L5" s="2"/>
    </row>
    <row r="6" spans="1:14" ht="19.5" customHeight="1" x14ac:dyDescent="0.25">
      <c r="B6" s="5" t="s">
        <v>0</v>
      </c>
      <c r="C6" s="15" t="s">
        <v>9</v>
      </c>
      <c r="D6" s="6" t="s">
        <v>1</v>
      </c>
      <c r="E6" s="6" t="s">
        <v>14</v>
      </c>
      <c r="F6" s="6" t="s">
        <v>12</v>
      </c>
      <c r="G6" s="6" t="s">
        <v>13</v>
      </c>
      <c r="H6" s="6" t="s">
        <v>2</v>
      </c>
      <c r="I6" s="6" t="s">
        <v>3</v>
      </c>
      <c r="J6" s="6" t="s">
        <v>4</v>
      </c>
      <c r="K6" s="6" t="s">
        <v>6</v>
      </c>
      <c r="L6" s="7" t="s">
        <v>5</v>
      </c>
    </row>
    <row r="7" spans="1:14" ht="15" x14ac:dyDescent="0.25">
      <c r="A7" s="4"/>
      <c r="B7" s="10">
        <v>1</v>
      </c>
      <c r="C7" s="16" t="s">
        <v>51</v>
      </c>
      <c r="D7" s="8">
        <v>1</v>
      </c>
      <c r="E7" s="9">
        <v>0.2379</v>
      </c>
      <c r="F7" s="8">
        <f t="shared" ref="F7:F38" si="0">D7*E7</f>
        <v>0.2379</v>
      </c>
      <c r="G7" s="35">
        <v>6221</v>
      </c>
      <c r="H7" s="9" t="s">
        <v>43</v>
      </c>
      <c r="I7" s="9"/>
      <c r="J7" s="38" t="s">
        <v>118</v>
      </c>
      <c r="K7" s="9"/>
      <c r="L7" s="13"/>
    </row>
    <row r="8" spans="1:14" ht="15" x14ac:dyDescent="0.25">
      <c r="A8" s="4"/>
      <c r="B8" s="10">
        <f>B7+1</f>
        <v>2</v>
      </c>
      <c r="C8" s="16" t="s">
        <v>7</v>
      </c>
      <c r="D8" s="8">
        <v>1</v>
      </c>
      <c r="E8" s="9">
        <v>1.0781000000000001</v>
      </c>
      <c r="F8" s="8">
        <f t="shared" si="0"/>
        <v>1.0781000000000001</v>
      </c>
      <c r="G8" s="35">
        <v>2470</v>
      </c>
      <c r="H8" s="9" t="s">
        <v>91</v>
      </c>
      <c r="I8" s="9" t="s">
        <v>90</v>
      </c>
      <c r="J8" s="8" t="s">
        <v>19</v>
      </c>
      <c r="K8" s="9"/>
      <c r="L8" s="13" t="s">
        <v>89</v>
      </c>
    </row>
    <row r="9" spans="1:14" ht="15" x14ac:dyDescent="0.25">
      <c r="A9" s="4"/>
      <c r="B9" s="10">
        <f t="shared" ref="B9:B38" si="1">B8+1</f>
        <v>3</v>
      </c>
      <c r="C9" s="18" t="s">
        <v>46</v>
      </c>
      <c r="D9" s="19">
        <v>1</v>
      </c>
      <c r="E9" s="20">
        <v>8.9599999999999999E-2</v>
      </c>
      <c r="F9" s="8">
        <f t="shared" si="0"/>
        <v>8.9599999999999999E-2</v>
      </c>
      <c r="G9" s="36">
        <v>10538</v>
      </c>
      <c r="H9" s="20" t="s">
        <v>82</v>
      </c>
      <c r="I9" s="20" t="s">
        <v>26</v>
      </c>
      <c r="J9" s="19" t="s">
        <v>25</v>
      </c>
      <c r="K9" s="20" t="s">
        <v>27</v>
      </c>
      <c r="L9" s="13" t="s">
        <v>24</v>
      </c>
    </row>
    <row r="10" spans="1:14" ht="15" x14ac:dyDescent="0.25">
      <c r="A10" s="4"/>
      <c r="B10" s="10">
        <f t="shared" si="1"/>
        <v>4</v>
      </c>
      <c r="C10" s="16" t="s">
        <v>45</v>
      </c>
      <c r="D10" s="8">
        <v>1</v>
      </c>
      <c r="E10" s="9">
        <v>4.7466999999999997</v>
      </c>
      <c r="F10" s="8">
        <f t="shared" si="0"/>
        <v>4.7466999999999997</v>
      </c>
      <c r="G10" s="35">
        <v>5492</v>
      </c>
      <c r="H10" s="9" t="s">
        <v>22</v>
      </c>
      <c r="I10" s="23" t="s">
        <v>21</v>
      </c>
      <c r="J10" s="9" t="s">
        <v>17</v>
      </c>
      <c r="K10" s="9" t="s">
        <v>23</v>
      </c>
      <c r="L10" s="13" t="s">
        <v>20</v>
      </c>
    </row>
    <row r="11" spans="1:14" ht="15" x14ac:dyDescent="0.25">
      <c r="A11" s="4"/>
      <c r="B11" s="10">
        <f t="shared" si="1"/>
        <v>5</v>
      </c>
      <c r="C11" s="18" t="s">
        <v>47</v>
      </c>
      <c r="D11" s="19">
        <v>1</v>
      </c>
      <c r="E11" s="20">
        <v>0.44779999999999998</v>
      </c>
      <c r="F11" s="8">
        <f t="shared" si="0"/>
        <v>0.44779999999999998</v>
      </c>
      <c r="G11" s="36">
        <v>37455</v>
      </c>
      <c r="H11" s="20" t="s">
        <v>31</v>
      </c>
      <c r="I11" s="20" t="s">
        <v>30</v>
      </c>
      <c r="J11" s="19" t="s">
        <v>29</v>
      </c>
      <c r="K11" s="20" t="s">
        <v>32</v>
      </c>
      <c r="L11" s="13" t="s">
        <v>28</v>
      </c>
    </row>
    <row r="12" spans="1:14" x14ac:dyDescent="0.3">
      <c r="A12" s="4"/>
      <c r="B12" s="10">
        <f t="shared" si="1"/>
        <v>6</v>
      </c>
      <c r="C12" s="16" t="s">
        <v>8</v>
      </c>
      <c r="D12" s="8">
        <v>1</v>
      </c>
      <c r="E12" s="9">
        <v>0.80610000000000004</v>
      </c>
      <c r="F12" s="8">
        <f t="shared" si="0"/>
        <v>0.80610000000000004</v>
      </c>
      <c r="G12" s="35">
        <v>5605</v>
      </c>
      <c r="H12" s="9" t="s">
        <v>146</v>
      </c>
      <c r="I12" s="9" t="s">
        <v>147</v>
      </c>
      <c r="J12" s="8" t="s">
        <v>80</v>
      </c>
      <c r="K12" s="9" t="s">
        <v>81</v>
      </c>
      <c r="L12" s="13" t="s">
        <v>148</v>
      </c>
    </row>
    <row r="13" spans="1:14" ht="15" x14ac:dyDescent="0.25">
      <c r="A13" s="4"/>
      <c r="B13" s="10">
        <f t="shared" si="1"/>
        <v>7</v>
      </c>
      <c r="C13" s="18" t="s">
        <v>96</v>
      </c>
      <c r="D13" s="19">
        <v>1</v>
      </c>
      <c r="E13" s="20">
        <v>0.63690000000000002</v>
      </c>
      <c r="F13" s="8">
        <f t="shared" si="0"/>
        <v>0.63690000000000002</v>
      </c>
      <c r="G13" s="36">
        <v>7061</v>
      </c>
      <c r="H13" s="20" t="s">
        <v>95</v>
      </c>
      <c r="I13" s="20" t="s">
        <v>94</v>
      </c>
      <c r="J13" s="19" t="s">
        <v>93</v>
      </c>
      <c r="K13" s="20"/>
      <c r="L13" s="13" t="s">
        <v>92</v>
      </c>
    </row>
    <row r="14" spans="1:14" ht="15" x14ac:dyDescent="0.25">
      <c r="A14" s="4"/>
      <c r="B14" s="10">
        <f t="shared" si="1"/>
        <v>8</v>
      </c>
      <c r="C14" s="18" t="s">
        <v>102</v>
      </c>
      <c r="D14" s="19">
        <v>1</v>
      </c>
      <c r="E14" s="20">
        <v>0.28000000000000003</v>
      </c>
      <c r="F14" s="8">
        <f t="shared" si="0"/>
        <v>0.28000000000000003</v>
      </c>
      <c r="G14" s="36"/>
      <c r="H14" s="20" t="s">
        <v>105</v>
      </c>
      <c r="I14" s="20" t="s">
        <v>104</v>
      </c>
      <c r="J14" s="19" t="s">
        <v>103</v>
      </c>
      <c r="K14" s="20"/>
      <c r="L14" s="13" t="s">
        <v>101</v>
      </c>
    </row>
    <row r="15" spans="1:14" ht="15" x14ac:dyDescent="0.25">
      <c r="A15" s="4"/>
      <c r="B15" s="10">
        <f t="shared" si="1"/>
        <v>9</v>
      </c>
      <c r="C15" s="18" t="s">
        <v>100</v>
      </c>
      <c r="D15" s="19">
        <v>2</v>
      </c>
      <c r="E15" s="20">
        <v>0.23</v>
      </c>
      <c r="F15" s="8">
        <f t="shared" si="0"/>
        <v>0.46</v>
      </c>
      <c r="G15" s="36"/>
      <c r="H15" s="20" t="s">
        <v>107</v>
      </c>
      <c r="I15" s="20" t="s">
        <v>106</v>
      </c>
      <c r="J15" s="19" t="s">
        <v>103</v>
      </c>
      <c r="K15" s="20"/>
      <c r="L15" s="13" t="s">
        <v>99</v>
      </c>
    </row>
    <row r="16" spans="1:14" ht="15" x14ac:dyDescent="0.25">
      <c r="A16" s="4"/>
      <c r="B16" s="10">
        <f t="shared" si="1"/>
        <v>10</v>
      </c>
      <c r="C16" s="18" t="s">
        <v>98</v>
      </c>
      <c r="D16" s="19">
        <v>1</v>
      </c>
      <c r="E16" s="20">
        <v>0.18</v>
      </c>
      <c r="F16" s="8">
        <f t="shared" si="0"/>
        <v>0.18</v>
      </c>
      <c r="G16" s="36"/>
      <c r="H16" s="20" t="s">
        <v>109</v>
      </c>
      <c r="I16" s="20" t="s">
        <v>108</v>
      </c>
      <c r="J16" s="19" t="s">
        <v>103</v>
      </c>
      <c r="K16" s="20"/>
      <c r="L16" s="13" t="s">
        <v>97</v>
      </c>
    </row>
    <row r="17" spans="1:12" ht="15" x14ac:dyDescent="0.25">
      <c r="A17" s="4"/>
      <c r="B17" s="10">
        <f t="shared" si="1"/>
        <v>11</v>
      </c>
      <c r="C17" s="18" t="s">
        <v>73</v>
      </c>
      <c r="D17" s="19">
        <v>1</v>
      </c>
      <c r="E17" s="20">
        <v>0.31840000000000002</v>
      </c>
      <c r="F17" s="8">
        <f t="shared" si="0"/>
        <v>0.31840000000000002</v>
      </c>
      <c r="G17" s="36">
        <v>10920</v>
      </c>
      <c r="H17" s="20" t="s">
        <v>76</v>
      </c>
      <c r="I17" s="20" t="s">
        <v>75</v>
      </c>
      <c r="J17" s="19" t="s">
        <v>19</v>
      </c>
      <c r="K17" s="20"/>
      <c r="L17" s="13" t="s">
        <v>74</v>
      </c>
    </row>
    <row r="18" spans="1:12" ht="33.75" x14ac:dyDescent="0.25">
      <c r="A18" s="4"/>
      <c r="B18" s="10">
        <f t="shared" si="1"/>
        <v>12</v>
      </c>
      <c r="C18" s="18" t="s">
        <v>114</v>
      </c>
      <c r="D18" s="19">
        <v>1</v>
      </c>
      <c r="E18" s="20">
        <v>3.9800000000000002E-2</v>
      </c>
      <c r="F18" s="8">
        <f t="shared" si="0"/>
        <v>3.9800000000000002E-2</v>
      </c>
      <c r="G18" s="36">
        <v>11506</v>
      </c>
      <c r="H18" s="20" t="s">
        <v>115</v>
      </c>
      <c r="I18" s="20" t="s">
        <v>117</v>
      </c>
      <c r="J18" s="38" t="s">
        <v>118</v>
      </c>
      <c r="K18" s="20" t="s">
        <v>116</v>
      </c>
      <c r="L18" s="13"/>
    </row>
    <row r="19" spans="1:12" ht="15" x14ac:dyDescent="0.25">
      <c r="A19" s="4"/>
      <c r="B19" s="10">
        <f t="shared" si="1"/>
        <v>13</v>
      </c>
      <c r="C19" s="18" t="s">
        <v>48</v>
      </c>
      <c r="D19" s="19">
        <v>1</v>
      </c>
      <c r="E19" s="20">
        <v>7.2999999999999995E-2</v>
      </c>
      <c r="F19" s="8">
        <f t="shared" si="0"/>
        <v>7.2999999999999995E-2</v>
      </c>
      <c r="G19" s="36">
        <v>15362</v>
      </c>
      <c r="H19" s="20" t="s">
        <v>84</v>
      </c>
      <c r="I19" s="20" t="s">
        <v>83</v>
      </c>
      <c r="J19" s="38" t="s">
        <v>118</v>
      </c>
      <c r="K19" s="20">
        <v>603</v>
      </c>
      <c r="L19" s="13"/>
    </row>
    <row r="20" spans="1:12" ht="15" x14ac:dyDescent="0.25">
      <c r="A20" s="4"/>
      <c r="B20" s="10">
        <f t="shared" si="1"/>
        <v>14</v>
      </c>
      <c r="C20" s="18" t="s">
        <v>49</v>
      </c>
      <c r="D20" s="19">
        <v>1</v>
      </c>
      <c r="E20" s="20">
        <v>7.2999999999999995E-2</v>
      </c>
      <c r="F20" s="8">
        <f t="shared" si="0"/>
        <v>7.2999999999999995E-2</v>
      </c>
      <c r="G20" s="36">
        <v>19542</v>
      </c>
      <c r="H20" s="20" t="s">
        <v>36</v>
      </c>
      <c r="I20" s="20" t="s">
        <v>35</v>
      </c>
      <c r="J20" s="38" t="s">
        <v>118</v>
      </c>
      <c r="K20" s="20">
        <v>603</v>
      </c>
      <c r="L20" s="37"/>
    </row>
    <row r="21" spans="1:12" ht="15" x14ac:dyDescent="0.25">
      <c r="A21" s="4"/>
      <c r="B21" s="10">
        <f t="shared" si="1"/>
        <v>15</v>
      </c>
      <c r="C21" s="18" t="s">
        <v>110</v>
      </c>
      <c r="D21" s="19">
        <v>2</v>
      </c>
      <c r="E21" s="20">
        <v>5.57E-2</v>
      </c>
      <c r="F21" s="8">
        <f t="shared" si="0"/>
        <v>0.1114</v>
      </c>
      <c r="G21" s="36">
        <v>65347</v>
      </c>
      <c r="H21" s="20" t="s">
        <v>39</v>
      </c>
      <c r="I21" s="20" t="s">
        <v>38</v>
      </c>
      <c r="J21" s="19" t="s">
        <v>37</v>
      </c>
      <c r="K21" s="20" t="s">
        <v>40</v>
      </c>
      <c r="L21" s="13" t="s">
        <v>33</v>
      </c>
    </row>
    <row r="22" spans="1:12" ht="15" x14ac:dyDescent="0.25">
      <c r="A22" s="4"/>
      <c r="B22" s="10">
        <f t="shared" si="1"/>
        <v>16</v>
      </c>
      <c r="C22" s="18" t="s">
        <v>50</v>
      </c>
      <c r="D22" s="19">
        <v>2</v>
      </c>
      <c r="E22" s="20">
        <v>5.3100000000000001E-2</v>
      </c>
      <c r="F22" s="8">
        <f t="shared" si="0"/>
        <v>0.1062</v>
      </c>
      <c r="G22" s="36">
        <v>61337</v>
      </c>
      <c r="H22" s="20" t="s">
        <v>113</v>
      </c>
      <c r="I22" s="20" t="s">
        <v>42</v>
      </c>
      <c r="J22" s="19" t="s">
        <v>41</v>
      </c>
      <c r="K22" s="20" t="s">
        <v>18</v>
      </c>
      <c r="L22" s="13" t="s">
        <v>34</v>
      </c>
    </row>
    <row r="23" spans="1:12" ht="15" x14ac:dyDescent="0.25">
      <c r="A23" s="4"/>
      <c r="B23" s="10">
        <f t="shared" si="1"/>
        <v>17</v>
      </c>
      <c r="C23" s="18" t="s">
        <v>142</v>
      </c>
      <c r="D23" s="19">
        <v>1</v>
      </c>
      <c r="E23" s="20">
        <v>1.7399999999999999E-2</v>
      </c>
      <c r="F23" s="8">
        <f t="shared" si="0"/>
        <v>1.7399999999999999E-2</v>
      </c>
      <c r="G23" s="36">
        <v>89483</v>
      </c>
      <c r="H23" s="20" t="s">
        <v>70</v>
      </c>
      <c r="I23" s="20" t="s">
        <v>69</v>
      </c>
      <c r="J23" s="19" t="s">
        <v>52</v>
      </c>
      <c r="K23" s="20" t="s">
        <v>54</v>
      </c>
      <c r="L23" s="13" t="s">
        <v>62</v>
      </c>
    </row>
    <row r="24" spans="1:12" ht="22.5" x14ac:dyDescent="0.25">
      <c r="A24" s="4"/>
      <c r="B24" s="10">
        <f t="shared" si="1"/>
        <v>18</v>
      </c>
      <c r="C24" s="18" t="s">
        <v>68</v>
      </c>
      <c r="D24" s="19">
        <v>1</v>
      </c>
      <c r="E24" s="20">
        <v>0.2</v>
      </c>
      <c r="F24" s="8">
        <f t="shared" si="0"/>
        <v>0.2</v>
      </c>
      <c r="G24" s="36">
        <v>52242</v>
      </c>
      <c r="H24" s="20" t="s">
        <v>120</v>
      </c>
      <c r="I24" s="20" t="s">
        <v>119</v>
      </c>
      <c r="J24" s="38" t="s">
        <v>118</v>
      </c>
      <c r="K24" s="20" t="s">
        <v>71</v>
      </c>
      <c r="L24" s="13" t="s">
        <v>121</v>
      </c>
    </row>
    <row r="25" spans="1:12" ht="15" x14ac:dyDescent="0.25">
      <c r="A25" s="4"/>
      <c r="B25" s="10">
        <f>B24+1</f>
        <v>19</v>
      </c>
      <c r="C25" s="18" t="s">
        <v>138</v>
      </c>
      <c r="D25" s="19">
        <v>2</v>
      </c>
      <c r="E25" s="20">
        <v>5.3699999999999998E-2</v>
      </c>
      <c r="F25" s="8">
        <f t="shared" si="0"/>
        <v>0.1074</v>
      </c>
      <c r="G25" s="36">
        <v>140236</v>
      </c>
      <c r="H25" s="20" t="s">
        <v>140</v>
      </c>
      <c r="I25" s="20" t="s">
        <v>141</v>
      </c>
      <c r="J25" s="19" t="s">
        <v>122</v>
      </c>
      <c r="K25" s="20" t="s">
        <v>88</v>
      </c>
      <c r="L25" s="13"/>
    </row>
    <row r="26" spans="1:12" x14ac:dyDescent="0.3">
      <c r="A26" s="4"/>
      <c r="B26" s="10">
        <f t="shared" si="1"/>
        <v>20</v>
      </c>
      <c r="C26" s="18" t="s">
        <v>139</v>
      </c>
      <c r="D26" s="19">
        <v>2</v>
      </c>
      <c r="E26" s="20">
        <v>3.4299999999999997E-2</v>
      </c>
      <c r="F26" s="8">
        <f t="shared" si="0"/>
        <v>6.8599999999999994E-2</v>
      </c>
      <c r="G26" s="36">
        <v>140236</v>
      </c>
      <c r="H26" s="20" t="s">
        <v>87</v>
      </c>
      <c r="I26" s="20" t="s">
        <v>123</v>
      </c>
      <c r="J26" s="19" t="s">
        <v>122</v>
      </c>
      <c r="K26" s="20" t="s">
        <v>88</v>
      </c>
      <c r="L26" s="13"/>
    </row>
    <row r="27" spans="1:12" x14ac:dyDescent="0.3">
      <c r="A27" s="4"/>
      <c r="B27" s="10">
        <f t="shared" si="1"/>
        <v>21</v>
      </c>
      <c r="C27" s="18" t="s">
        <v>85</v>
      </c>
      <c r="D27" s="19">
        <v>4</v>
      </c>
      <c r="E27" s="20">
        <v>2.4899999999999999E-2</v>
      </c>
      <c r="F27" s="8">
        <f t="shared" si="0"/>
        <v>9.9599999999999994E-2</v>
      </c>
      <c r="G27" s="36">
        <v>89465</v>
      </c>
      <c r="H27" s="20" t="s">
        <v>53</v>
      </c>
      <c r="I27" s="20" t="s">
        <v>124</v>
      </c>
      <c r="J27" s="19" t="s">
        <v>122</v>
      </c>
      <c r="K27" s="20" t="s">
        <v>54</v>
      </c>
      <c r="L27" s="13"/>
    </row>
    <row r="28" spans="1:12" x14ac:dyDescent="0.3">
      <c r="A28" s="4"/>
      <c r="B28" s="10">
        <f t="shared" si="1"/>
        <v>22</v>
      </c>
      <c r="C28" s="18" t="s">
        <v>44</v>
      </c>
      <c r="D28" s="19">
        <v>3</v>
      </c>
      <c r="E28" s="20">
        <v>6.0000000000000001E-3</v>
      </c>
      <c r="F28" s="8">
        <f t="shared" si="0"/>
        <v>1.8000000000000002E-2</v>
      </c>
      <c r="G28" s="36">
        <v>486858</v>
      </c>
      <c r="H28" s="20" t="s">
        <v>56</v>
      </c>
      <c r="I28" s="20" t="s">
        <v>125</v>
      </c>
      <c r="J28" s="19" t="s">
        <v>122</v>
      </c>
      <c r="K28" s="20" t="s">
        <v>54</v>
      </c>
      <c r="L28" s="13"/>
    </row>
    <row r="29" spans="1:12" x14ac:dyDescent="0.3">
      <c r="A29" s="4"/>
      <c r="B29" s="10">
        <f t="shared" si="1"/>
        <v>23</v>
      </c>
      <c r="C29" s="18" t="s">
        <v>57</v>
      </c>
      <c r="D29" s="19">
        <v>2</v>
      </c>
      <c r="E29" s="20">
        <v>0.01</v>
      </c>
      <c r="F29" s="8">
        <f t="shared" si="0"/>
        <v>0.02</v>
      </c>
      <c r="G29" s="36">
        <v>206174</v>
      </c>
      <c r="H29" s="20" t="s">
        <v>59</v>
      </c>
      <c r="I29" s="20" t="s">
        <v>126</v>
      </c>
      <c r="J29" s="19" t="s">
        <v>122</v>
      </c>
      <c r="K29" s="20" t="s">
        <v>54</v>
      </c>
      <c r="L29" s="13"/>
    </row>
    <row r="30" spans="1:12" ht="26.4" x14ac:dyDescent="0.3">
      <c r="A30" s="4"/>
      <c r="B30" s="10">
        <f t="shared" si="1"/>
        <v>24</v>
      </c>
      <c r="C30" s="18" t="s">
        <v>86</v>
      </c>
      <c r="D30" s="19">
        <v>13</v>
      </c>
      <c r="E30" s="20">
        <v>3.2000000000000002E-3</v>
      </c>
      <c r="F30" s="8">
        <f t="shared" si="0"/>
        <v>4.1600000000000005E-2</v>
      </c>
      <c r="G30" s="36">
        <v>86910</v>
      </c>
      <c r="H30" s="20" t="s">
        <v>55</v>
      </c>
      <c r="I30" s="20" t="s">
        <v>127</v>
      </c>
      <c r="J30" s="19" t="s">
        <v>122</v>
      </c>
      <c r="K30" s="20" t="s">
        <v>54</v>
      </c>
      <c r="L30" s="13"/>
    </row>
    <row r="31" spans="1:12" x14ac:dyDescent="0.3">
      <c r="A31" s="4"/>
      <c r="B31" s="10">
        <f t="shared" si="1"/>
        <v>25</v>
      </c>
      <c r="C31" s="18" t="s">
        <v>58</v>
      </c>
      <c r="D31" s="19">
        <v>2</v>
      </c>
      <c r="E31" s="20">
        <v>3.0000000000000001E-3</v>
      </c>
      <c r="F31" s="8">
        <f t="shared" si="0"/>
        <v>6.0000000000000001E-3</v>
      </c>
      <c r="G31" s="36">
        <v>281450</v>
      </c>
      <c r="H31" s="20" t="s">
        <v>60</v>
      </c>
      <c r="I31" s="20" t="s">
        <v>128</v>
      </c>
      <c r="J31" s="19" t="s">
        <v>122</v>
      </c>
      <c r="K31" s="20" t="s">
        <v>54</v>
      </c>
      <c r="L31" s="13"/>
    </row>
    <row r="32" spans="1:12" x14ac:dyDescent="0.3">
      <c r="A32" s="4"/>
      <c r="B32" s="10">
        <f t="shared" si="1"/>
        <v>26</v>
      </c>
      <c r="C32" s="18" t="s">
        <v>61</v>
      </c>
      <c r="D32" s="19">
        <v>1</v>
      </c>
      <c r="E32" s="20">
        <v>2E-3</v>
      </c>
      <c r="F32" s="8">
        <f t="shared" si="0"/>
        <v>2E-3</v>
      </c>
      <c r="G32" s="36">
        <v>31926</v>
      </c>
      <c r="H32" s="20" t="s">
        <v>65</v>
      </c>
      <c r="I32" s="20" t="s">
        <v>130</v>
      </c>
      <c r="J32" s="19" t="s">
        <v>129</v>
      </c>
      <c r="K32" s="20">
        <v>603</v>
      </c>
      <c r="L32" s="13"/>
    </row>
    <row r="33" spans="1:12" x14ac:dyDescent="0.3">
      <c r="A33" s="4"/>
      <c r="B33" s="10">
        <f t="shared" si="1"/>
        <v>27</v>
      </c>
      <c r="C33" s="18" t="s">
        <v>145</v>
      </c>
      <c r="D33" s="19">
        <v>5</v>
      </c>
      <c r="E33" s="20">
        <v>2E-3</v>
      </c>
      <c r="F33" s="8">
        <f t="shared" si="0"/>
        <v>0.01</v>
      </c>
      <c r="G33" s="36">
        <v>4827797</v>
      </c>
      <c r="H33" s="20" t="s">
        <v>66</v>
      </c>
      <c r="I33" s="20" t="s">
        <v>131</v>
      </c>
      <c r="J33" s="19" t="s">
        <v>129</v>
      </c>
      <c r="K33" s="20">
        <v>603</v>
      </c>
      <c r="L33" s="13"/>
    </row>
    <row r="34" spans="1:12" x14ac:dyDescent="0.3">
      <c r="A34" s="4"/>
      <c r="B34" s="10">
        <f t="shared" si="1"/>
        <v>28</v>
      </c>
      <c r="C34" s="18" t="s">
        <v>111</v>
      </c>
      <c r="D34" s="19">
        <v>2</v>
      </c>
      <c r="E34" s="20">
        <v>2E-3</v>
      </c>
      <c r="F34" s="8">
        <f t="shared" si="0"/>
        <v>4.0000000000000001E-3</v>
      </c>
      <c r="G34" s="36">
        <v>76672</v>
      </c>
      <c r="H34" s="20" t="s">
        <v>112</v>
      </c>
      <c r="I34" s="20" t="s">
        <v>132</v>
      </c>
      <c r="J34" s="19" t="s">
        <v>129</v>
      </c>
      <c r="K34" s="20">
        <v>603</v>
      </c>
      <c r="L34" s="13"/>
    </row>
    <row r="35" spans="1:12" x14ac:dyDescent="0.3">
      <c r="A35" s="4"/>
      <c r="B35" s="10">
        <f t="shared" si="1"/>
        <v>29</v>
      </c>
      <c r="C35" s="18" t="s">
        <v>63</v>
      </c>
      <c r="D35" s="19">
        <v>1</v>
      </c>
      <c r="E35" s="20">
        <v>5.4999999999999997E-3</v>
      </c>
      <c r="F35" s="8">
        <f t="shared" si="0"/>
        <v>5.4999999999999997E-3</v>
      </c>
      <c r="G35" s="36">
        <v>431343</v>
      </c>
      <c r="H35" s="20" t="s">
        <v>67</v>
      </c>
      <c r="I35" s="20" t="s">
        <v>133</v>
      </c>
      <c r="J35" s="19" t="s">
        <v>129</v>
      </c>
      <c r="K35" s="20">
        <v>1206</v>
      </c>
      <c r="L35" s="13"/>
    </row>
    <row r="36" spans="1:12" x14ac:dyDescent="0.3">
      <c r="A36" s="4"/>
      <c r="B36" s="10">
        <f t="shared" si="1"/>
        <v>30</v>
      </c>
      <c r="C36" s="18" t="s">
        <v>64</v>
      </c>
      <c r="D36" s="19">
        <v>2</v>
      </c>
      <c r="E36" s="20">
        <v>2E-3</v>
      </c>
      <c r="F36" s="8">
        <f t="shared" si="0"/>
        <v>4.0000000000000001E-3</v>
      </c>
      <c r="G36" s="36">
        <v>206672</v>
      </c>
      <c r="H36" s="20" t="s">
        <v>72</v>
      </c>
      <c r="I36" s="20" t="s">
        <v>134</v>
      </c>
      <c r="J36" s="19" t="s">
        <v>129</v>
      </c>
      <c r="K36" s="20">
        <v>603</v>
      </c>
      <c r="L36" s="13"/>
    </row>
    <row r="37" spans="1:12" x14ac:dyDescent="0.3">
      <c r="A37" s="4"/>
      <c r="B37" s="10">
        <f t="shared" si="1"/>
        <v>31</v>
      </c>
      <c r="C37" s="18" t="s">
        <v>143</v>
      </c>
      <c r="D37" s="19">
        <v>1</v>
      </c>
      <c r="E37" s="20">
        <v>2.8999999999999998E-3</v>
      </c>
      <c r="F37" s="8">
        <f t="shared" si="0"/>
        <v>2.8999999999999998E-3</v>
      </c>
      <c r="G37" s="36">
        <v>76672</v>
      </c>
      <c r="H37" s="20" t="s">
        <v>144</v>
      </c>
      <c r="I37" s="20"/>
      <c r="J37" s="19" t="s">
        <v>129</v>
      </c>
      <c r="K37" s="20">
        <v>603</v>
      </c>
      <c r="L37" s="13"/>
    </row>
    <row r="38" spans="1:12" x14ac:dyDescent="0.3">
      <c r="A38" s="4"/>
      <c r="B38" s="10">
        <f t="shared" si="1"/>
        <v>32</v>
      </c>
      <c r="C38" s="18" t="s">
        <v>77</v>
      </c>
      <c r="D38" s="19">
        <v>1</v>
      </c>
      <c r="E38" s="20">
        <v>2.9899999999999999E-2</v>
      </c>
      <c r="F38" s="8">
        <f t="shared" si="0"/>
        <v>2.9899999999999999E-2</v>
      </c>
      <c r="G38" s="36">
        <v>249648</v>
      </c>
      <c r="H38" s="20" t="s">
        <v>78</v>
      </c>
      <c r="I38" s="20" t="s">
        <v>137</v>
      </c>
      <c r="J38" s="19" t="s">
        <v>136</v>
      </c>
      <c r="K38" s="20" t="s">
        <v>79</v>
      </c>
      <c r="L38" s="13" t="s">
        <v>135</v>
      </c>
    </row>
    <row r="39" spans="1:12" ht="15" thickBot="1" x14ac:dyDescent="0.35">
      <c r="A39" s="4"/>
      <c r="B39" s="17"/>
      <c r="C39" s="18" t="s">
        <v>16</v>
      </c>
      <c r="D39" s="24">
        <f>SUM(D7:D38)</f>
        <v>62</v>
      </c>
      <c r="E39" s="24"/>
      <c r="F39" s="31">
        <f>SUM(F7:F38)</f>
        <v>10.3218</v>
      </c>
      <c r="G39" s="12"/>
      <c r="H39" s="11"/>
      <c r="I39" s="11"/>
      <c r="J39" s="11"/>
      <c r="K39" s="11"/>
      <c r="L39" s="14"/>
    </row>
    <row r="40" spans="1:12" x14ac:dyDescent="0.3">
      <c r="A40" s="3"/>
      <c r="B40" s="3"/>
      <c r="C40" s="25"/>
      <c r="D40" s="28"/>
      <c r="E40" s="28"/>
      <c r="F40" s="32"/>
      <c r="G40" s="3"/>
      <c r="H40" s="3"/>
      <c r="I40" s="3"/>
      <c r="J40" s="3"/>
    </row>
    <row r="41" spans="1:12" x14ac:dyDescent="0.3">
      <c r="A41" s="3"/>
      <c r="B41" s="3"/>
      <c r="C41" s="26"/>
      <c r="D41" s="29"/>
      <c r="E41" s="29"/>
      <c r="F41" s="33"/>
      <c r="G41" s="3"/>
      <c r="H41" s="3"/>
      <c r="I41" s="3"/>
      <c r="J41" s="3"/>
    </row>
    <row r="42" spans="1:12" x14ac:dyDescent="0.3">
      <c r="C42" s="26"/>
      <c r="D42" s="29"/>
      <c r="E42" s="29"/>
      <c r="F42" s="33"/>
      <c r="I42" s="3"/>
    </row>
    <row r="43" spans="1:12" ht="15" thickBot="1" x14ac:dyDescent="0.35">
      <c r="B43" t="s">
        <v>15</v>
      </c>
      <c r="C43" s="27"/>
      <c r="D43" s="30"/>
      <c r="E43" s="30"/>
      <c r="F43" s="34"/>
      <c r="I43" s="3"/>
    </row>
    <row r="44" spans="1:12" x14ac:dyDescent="0.3">
      <c r="I44" s="3"/>
    </row>
    <row r="45" spans="1:12" x14ac:dyDescent="0.3">
      <c r="I45" s="3"/>
    </row>
  </sheetData>
  <mergeCells count="1">
    <mergeCell ref="B2:L2"/>
  </mergeCells>
  <hyperlinks>
    <hyperlink ref="L10" r:id="rId1"/>
    <hyperlink ref="L12" r:id="rId2"/>
    <hyperlink ref="L9" r:id="rId3"/>
    <hyperlink ref="L11" r:id="rId4"/>
    <hyperlink ref="L21" r:id="rId5"/>
    <hyperlink ref="L22" r:id="rId6"/>
    <hyperlink ref="L23" r:id="rId7"/>
    <hyperlink ref="L17" r:id="rId8"/>
    <hyperlink ref="L8" r:id="rId9"/>
    <hyperlink ref="L13" r:id="rId10"/>
    <hyperlink ref="L16" r:id="rId11"/>
    <hyperlink ref="L15" r:id="rId12"/>
    <hyperlink ref="L14" r:id="rId13"/>
    <hyperlink ref="L24" r:id="rId14"/>
    <hyperlink ref="L38" r:id="rId15"/>
  </hyperlinks>
  <pageMargins left="0.7" right="0.7" top="0.75" bottom="0.75" header="0.3" footer="0.3"/>
  <pageSetup paperSize="9" scale="49" orientation="landscape"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2015-03-03T02:42:52Z</dcterms:modified>
</cp:coreProperties>
</file>