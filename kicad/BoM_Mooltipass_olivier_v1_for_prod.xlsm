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7" i="1" l="1"/>
  <c r="B37" i="1"/>
  <c r="B38" i="1" s="1"/>
  <c r="F25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8" i="1"/>
  <c r="F14" i="1" l="1"/>
  <c r="F15" i="1"/>
  <c r="F16" i="1"/>
  <c r="D39" i="1"/>
  <c r="F38" i="1"/>
  <c r="F36" i="1"/>
  <c r="F35" i="1"/>
  <c r="F34" i="1"/>
  <c r="F33" i="1"/>
  <c r="F32" i="1"/>
  <c r="F31" i="1"/>
  <c r="F30" i="1"/>
  <c r="F29" i="1"/>
  <c r="F28" i="1"/>
  <c r="F27" i="1"/>
  <c r="F26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39" i="1" l="1"/>
</calcChain>
</file>

<file path=xl/sharedStrings.xml><?xml version="1.0" encoding="utf-8"?>
<sst xmlns="http://schemas.openxmlformats.org/spreadsheetml/2006/main" count="173" uniqueCount="149">
  <si>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</si>
  <si>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</si>
  <si>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</si>
  <si>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</si>
  <si>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</si>
  <si>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</si>
  <si>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</si>
  <si>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</si>
  <si>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</si>
  <si>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</si>
  <si>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</si>
  <si>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</si>
  <si>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</si>
  <si>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</si>
  <si>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</si>
  <si>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</si>
  <si>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</si>
  <si>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</si>
  <si>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</si>
  <si>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</si>
  <si>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</si>
  <si>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</si>
  <si>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</si>
  <si>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</si>
  <si>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</si>
  <si>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</si>
  <si>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</si>
  <si>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</si>
  <si>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</si>
  <si>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</si>
  <si>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</si>
  <si>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</si>
  <si>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</si>
  <si>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</si>
  <si>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</si>
  <si>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</si>
  <si>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</si>
  <si>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</si>
  <si>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</si>
  <si>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</si>
  <si>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</si>
  <si>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</si>
  <si>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</si>
  <si>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</si>
  <si>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</si>
  <si>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</si>
  <si>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</si>
  <si>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</si>
  <si>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</si>
  <si>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</si>
  <si>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</si>
  <si>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</si>
  <si>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</si>
  <si>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</si>
  <si>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</si>
  <si>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</si>
  <si>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</si>
  <si>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</si>
  <si>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</si>
  <si>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</si>
  <si>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</si>
  <si>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</si>
  <si>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</si>
  <si>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</si>
  <si>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</si>
  <si>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</si>
  <si>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</si>
  <si>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</si>
  <si>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</si>
  <si>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</si>
  <si>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</si>
  <si>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</si>
  <si>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</si>
  <si>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</si>
  <si>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</si>
  <si>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</si>
  <si>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</si>
  <si>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</si>
  <si>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</si>
  <si>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</si>
  <si>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</si>
  <si>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</si>
  <si>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</si>
  <si>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</si>
  <si>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</si>
  <si>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</si>
  <si>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</si>
  <si>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</si>
  <si>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</si>
  <si>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</si>
  <si>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</si>
  <si>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</si>
  <si>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</si>
  <si>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</si>
  <si>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</si>
  <si>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</si>
  <si>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</si>
  <si>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</si>
  <si>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</si>
  <si>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</si>
  <si>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</si>
  <si>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</si>
  <si>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</si>
  <si>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</si>
  <si>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</si>
  <si>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</si>
  <si>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</si>
  <si>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</si>
  <si>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</si>
  <si>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</si>
  <si>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</si>
  <si>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</si>
  <si>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</si>
  <si>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</si>
  <si>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</si>
  <si>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</si>
  <si>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</si>
  <si>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</si>
  <si>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</si>
  <si>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</si>
  <si>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</si>
  <si>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</si>
  <si>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</si>
  <si>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</si>
  <si>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</si>
  <si>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</si>
  <si>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</si>
  <si>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</si>
  <si>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</si>
  <si>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</si>
  <si>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</si>
  <si>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</si>
  <si>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</si>
  <si>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</si>
  <si>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</si>
  <si>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</si>
  <si>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</si>
  <si>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</si>
  <si>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</si>
  <si>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</si>
  <si>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</si>
  <si>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</si>
  <si>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</si>
  <si>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C9 C12</t>
  </si>
  <si>
    <t>CAP CER 22UF 25V 10% X5R 1206</t>
  </si>
  <si>
    <t xml:space="preserve">CL31A226KAHNNNE </t>
  </si>
  <si>
    <t>FB1</t>
  </si>
  <si>
    <t>FB2</t>
  </si>
  <si>
    <t>RES 0 OHM 1/10W 1% 0603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</si>
</sst>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5"/>
  <sheetViews>
    <sheetView tabSelected="1" zoomScale="130" zoomScaleNormal="130" workbookViewId="0">
      <selection activeCell="G41" sqref="G41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122.85546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8" si="0">D7*E7</f>
        <v>0.2379</v>
      </c>
      <c r="G7" s="35">
        <v>6221</v>
      </c>
      <c r="H7" s="9" t="s">
        <v>43</v>
      </c>
      <c r="I7" s="9"/>
      <c r="J7" s="38" t="s">
        <v>122</v>
      </c>
      <c r="K7" s="9"/>
      <c r="L7" s="13"/>
    </row>
    <row r="8" spans="1:14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94</v>
      </c>
      <c r="I8" s="9" t="s">
        <v>93</v>
      </c>
      <c r="J8" s="8" t="s">
        <v>19</v>
      </c>
      <c r="K8" s="9"/>
      <c r="L8" s="13" t="s">
        <v>92</v>
      </c>
    </row>
    <row r="9" spans="1:14" x14ac:dyDescent="0.25">
      <c r="A9" s="4"/>
      <c r="B9" s="10">
        <f t="shared" ref="B9:B38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85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x14ac:dyDescent="0.25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81</v>
      </c>
      <c r="I12" s="9" t="s">
        <v>84</v>
      </c>
      <c r="J12" s="8" t="s">
        <v>80</v>
      </c>
      <c r="K12" s="9" t="s">
        <v>82</v>
      </c>
      <c r="L12" s="13" t="s">
        <v>83</v>
      </c>
    </row>
    <row r="13" spans="1:14" x14ac:dyDescent="0.25">
      <c r="A13" s="4"/>
      <c r="B13" s="10">
        <f t="shared" si="1"/>
        <v>7</v>
      </c>
      <c r="C13" s="18" t="s">
        <v>99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98</v>
      </c>
      <c r="I13" s="20" t="s">
        <v>97</v>
      </c>
      <c r="J13" s="19" t="s">
        <v>96</v>
      </c>
      <c r="K13" s="20"/>
      <c r="L13" s="13" t="s">
        <v>95</v>
      </c>
    </row>
    <row r="14" spans="1:14" x14ac:dyDescent="0.25">
      <c r="A14" s="4"/>
      <c r="B14" s="10">
        <f t="shared" si="1"/>
        <v>8</v>
      </c>
      <c r="C14" s="18" t="s">
        <v>105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108</v>
      </c>
      <c r="I14" s="20" t="s">
        <v>107</v>
      </c>
      <c r="J14" s="19" t="s">
        <v>106</v>
      </c>
      <c r="K14" s="20"/>
      <c r="L14" s="13" t="s">
        <v>104</v>
      </c>
    </row>
    <row r="15" spans="1:14" x14ac:dyDescent="0.25">
      <c r="A15" s="4"/>
      <c r="B15" s="10">
        <f t="shared" si="1"/>
        <v>9</v>
      </c>
      <c r="C15" s="18" t="s">
        <v>103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110</v>
      </c>
      <c r="I15" s="20" t="s">
        <v>109</v>
      </c>
      <c r="J15" s="19" t="s">
        <v>106</v>
      </c>
      <c r="K15" s="20"/>
      <c r="L15" s="13" t="s">
        <v>102</v>
      </c>
    </row>
    <row r="16" spans="1:14" x14ac:dyDescent="0.25">
      <c r="A16" s="4"/>
      <c r="B16" s="10">
        <f t="shared" si="1"/>
        <v>10</v>
      </c>
      <c r="C16" s="18" t="s">
        <v>101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112</v>
      </c>
      <c r="I16" s="20" t="s">
        <v>111</v>
      </c>
      <c r="J16" s="19" t="s">
        <v>106</v>
      </c>
      <c r="K16" s="20"/>
      <c r="L16" s="13" t="s">
        <v>100</v>
      </c>
    </row>
    <row r="17" spans="1:12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118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119</v>
      </c>
      <c r="I18" s="20" t="s">
        <v>121</v>
      </c>
      <c r="J18" s="38" t="s">
        <v>122</v>
      </c>
      <c r="K18" s="20" t="s">
        <v>120</v>
      </c>
      <c r="L18" s="13"/>
    </row>
    <row r="19" spans="1:12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87</v>
      </c>
      <c r="I19" s="20" t="s">
        <v>86</v>
      </c>
      <c r="J19" s="38" t="s">
        <v>122</v>
      </c>
      <c r="K19" s="20">
        <v>603</v>
      </c>
      <c r="L19" s="13"/>
    </row>
    <row r="20" spans="1:12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122</v>
      </c>
      <c r="K20" s="20">
        <v>603</v>
      </c>
      <c r="L20" s="37"/>
    </row>
    <row r="21" spans="1:12" x14ac:dyDescent="0.25">
      <c r="A21" s="4"/>
      <c r="B21" s="10">
        <f t="shared" si="1"/>
        <v>15</v>
      </c>
      <c r="C21" s="18" t="s">
        <v>113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117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x14ac:dyDescent="0.25">
      <c r="A23" s="4"/>
      <c r="B23" s="10">
        <f t="shared" si="1"/>
        <v>17</v>
      </c>
      <c r="C23" s="18" t="s">
        <v>146</v>
      </c>
      <c r="D23" s="19">
        <v>1</v>
      </c>
      <c r="E23" s="20">
        <v>1.7399999999999999E-2</v>
      </c>
      <c r="F23" s="8">
        <f t="shared" si="0"/>
        <v>1.7399999999999999E-2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124</v>
      </c>
      <c r="I24" s="20" t="s">
        <v>123</v>
      </c>
      <c r="J24" s="38" t="s">
        <v>122</v>
      </c>
      <c r="K24" s="20" t="s">
        <v>71</v>
      </c>
      <c r="L24" s="13" t="s">
        <v>125</v>
      </c>
    </row>
    <row r="25" spans="1:12" x14ac:dyDescent="0.25">
      <c r="A25" s="4"/>
      <c r="B25" s="10">
        <f>B24+1</f>
        <v>19</v>
      </c>
      <c r="C25" s="18" t="s">
        <v>142</v>
      </c>
      <c r="D25" s="19">
        <v>2</v>
      </c>
      <c r="E25" s="20">
        <v>5.3699999999999998E-2</v>
      </c>
      <c r="F25" s="8">
        <f t="shared" si="0"/>
        <v>0.1074</v>
      </c>
      <c r="G25" s="36">
        <v>140236</v>
      </c>
      <c r="H25" s="20" t="s">
        <v>144</v>
      </c>
      <c r="I25" s="20" t="s">
        <v>145</v>
      </c>
      <c r="J25" s="19" t="s">
        <v>126</v>
      </c>
      <c r="K25" s="20" t="s">
        <v>91</v>
      </c>
      <c r="L25" s="13"/>
    </row>
    <row r="26" spans="1:12" x14ac:dyDescent="0.25">
      <c r="A26" s="4"/>
      <c r="B26" s="10">
        <f t="shared" si="1"/>
        <v>20</v>
      </c>
      <c r="C26" s="18" t="s">
        <v>143</v>
      </c>
      <c r="D26" s="19">
        <v>2</v>
      </c>
      <c r="E26" s="20">
        <v>3.4299999999999997E-2</v>
      </c>
      <c r="F26" s="8">
        <f t="shared" si="0"/>
        <v>6.8599999999999994E-2</v>
      </c>
      <c r="G26" s="36">
        <v>140236</v>
      </c>
      <c r="H26" s="20" t="s">
        <v>90</v>
      </c>
      <c r="I26" s="20" t="s">
        <v>127</v>
      </c>
      <c r="J26" s="19" t="s">
        <v>126</v>
      </c>
      <c r="K26" s="20" t="s">
        <v>91</v>
      </c>
      <c r="L26" s="13"/>
    </row>
    <row r="27" spans="1:12" x14ac:dyDescent="0.25">
      <c r="A27" s="4"/>
      <c r="B27" s="10">
        <f t="shared" si="1"/>
        <v>21</v>
      </c>
      <c r="C27" s="18" t="s">
        <v>88</v>
      </c>
      <c r="D27" s="19">
        <v>4</v>
      </c>
      <c r="E27" s="20">
        <v>2.4899999999999999E-2</v>
      </c>
      <c r="F27" s="8">
        <f t="shared" si="0"/>
        <v>9.9599999999999994E-2</v>
      </c>
      <c r="G27" s="36">
        <v>89465</v>
      </c>
      <c r="H27" s="20" t="s">
        <v>53</v>
      </c>
      <c r="I27" s="20" t="s">
        <v>128</v>
      </c>
      <c r="J27" s="19" t="s">
        <v>126</v>
      </c>
      <c r="K27" s="20" t="s">
        <v>54</v>
      </c>
      <c r="L27" s="13"/>
    </row>
    <row r="28" spans="1:12" x14ac:dyDescent="0.25">
      <c r="A28" s="4"/>
      <c r="B28" s="10">
        <f t="shared" si="1"/>
        <v>22</v>
      </c>
      <c r="C28" s="18" t="s">
        <v>44</v>
      </c>
      <c r="D28" s="19">
        <v>3</v>
      </c>
      <c r="E28" s="20">
        <v>6.0000000000000001E-3</v>
      </c>
      <c r="F28" s="8">
        <f t="shared" si="0"/>
        <v>1.8000000000000002E-2</v>
      </c>
      <c r="G28" s="36">
        <v>486858</v>
      </c>
      <c r="H28" s="20" t="s">
        <v>56</v>
      </c>
      <c r="I28" s="20" t="s">
        <v>129</v>
      </c>
      <c r="J28" s="19" t="s">
        <v>126</v>
      </c>
      <c r="K28" s="20" t="s">
        <v>54</v>
      </c>
      <c r="L28" s="13"/>
    </row>
    <row r="29" spans="1:12" x14ac:dyDescent="0.25">
      <c r="A29" s="4"/>
      <c r="B29" s="10">
        <f t="shared" si="1"/>
        <v>23</v>
      </c>
      <c r="C29" s="18" t="s">
        <v>57</v>
      </c>
      <c r="D29" s="19">
        <v>2</v>
      </c>
      <c r="E29" s="20">
        <v>0.01</v>
      </c>
      <c r="F29" s="8">
        <f t="shared" si="0"/>
        <v>0.02</v>
      </c>
      <c r="G29" s="36">
        <v>206174</v>
      </c>
      <c r="H29" s="20" t="s">
        <v>59</v>
      </c>
      <c r="I29" s="20" t="s">
        <v>130</v>
      </c>
      <c r="J29" s="19" t="s">
        <v>126</v>
      </c>
      <c r="K29" s="20" t="s">
        <v>54</v>
      </c>
      <c r="L29" s="13"/>
    </row>
    <row r="30" spans="1:12" ht="25.5" x14ac:dyDescent="0.25">
      <c r="A30" s="4"/>
      <c r="B30" s="10">
        <f t="shared" si="1"/>
        <v>24</v>
      </c>
      <c r="C30" s="18" t="s">
        <v>89</v>
      </c>
      <c r="D30" s="19">
        <v>13</v>
      </c>
      <c r="E30" s="20">
        <v>3.2000000000000002E-3</v>
      </c>
      <c r="F30" s="8">
        <f t="shared" si="0"/>
        <v>4.1600000000000005E-2</v>
      </c>
      <c r="G30" s="36">
        <v>86910</v>
      </c>
      <c r="H30" s="20" t="s">
        <v>55</v>
      </c>
      <c r="I30" s="20" t="s">
        <v>131</v>
      </c>
      <c r="J30" s="19" t="s">
        <v>126</v>
      </c>
      <c r="K30" s="20" t="s">
        <v>54</v>
      </c>
      <c r="L30" s="13"/>
    </row>
    <row r="31" spans="1:12" x14ac:dyDescent="0.25">
      <c r="A31" s="4"/>
      <c r="B31" s="10">
        <f t="shared" si="1"/>
        <v>25</v>
      </c>
      <c r="C31" s="18" t="s">
        <v>58</v>
      </c>
      <c r="D31" s="19">
        <v>2</v>
      </c>
      <c r="E31" s="20">
        <v>3.0000000000000001E-3</v>
      </c>
      <c r="F31" s="8">
        <f t="shared" si="0"/>
        <v>6.0000000000000001E-3</v>
      </c>
      <c r="G31" s="36">
        <v>281450</v>
      </c>
      <c r="H31" s="20" t="s">
        <v>60</v>
      </c>
      <c r="I31" s="20" t="s">
        <v>132</v>
      </c>
      <c r="J31" s="19" t="s">
        <v>126</v>
      </c>
      <c r="K31" s="20" t="s">
        <v>54</v>
      </c>
      <c r="L31" s="13"/>
    </row>
    <row r="32" spans="1:12" x14ac:dyDescent="0.25">
      <c r="A32" s="4"/>
      <c r="B32" s="10">
        <f t="shared" si="1"/>
        <v>26</v>
      </c>
      <c r="C32" s="18" t="s">
        <v>61</v>
      </c>
      <c r="D32" s="19">
        <v>1</v>
      </c>
      <c r="E32" s="20">
        <v>2E-3</v>
      </c>
      <c r="F32" s="8">
        <f t="shared" si="0"/>
        <v>2E-3</v>
      </c>
      <c r="G32" s="36">
        <v>31926</v>
      </c>
      <c r="H32" s="20" t="s">
        <v>65</v>
      </c>
      <c r="I32" s="20" t="s">
        <v>134</v>
      </c>
      <c r="J32" s="19" t="s">
        <v>133</v>
      </c>
      <c r="K32" s="20">
        <v>603</v>
      </c>
      <c r="L32" s="13"/>
    </row>
    <row r="33" spans="1:12" x14ac:dyDescent="0.25">
      <c r="A33" s="4"/>
      <c r="B33" s="10">
        <f t="shared" si="1"/>
        <v>27</v>
      </c>
      <c r="C33" s="18" t="s">
        <v>114</v>
      </c>
      <c r="D33" s="19">
        <v>4</v>
      </c>
      <c r="E33" s="20">
        <v>2E-3</v>
      </c>
      <c r="F33" s="8">
        <f t="shared" si="0"/>
        <v>8.0000000000000002E-3</v>
      </c>
      <c r="G33" s="36">
        <v>4827797</v>
      </c>
      <c r="H33" s="20" t="s">
        <v>66</v>
      </c>
      <c r="I33" s="20" t="s">
        <v>135</v>
      </c>
      <c r="J33" s="19" t="s">
        <v>133</v>
      </c>
      <c r="K33" s="20">
        <v>603</v>
      </c>
      <c r="L33" s="13"/>
    </row>
    <row r="34" spans="1:12" x14ac:dyDescent="0.25">
      <c r="A34" s="4"/>
      <c r="B34" s="10">
        <f t="shared" si="1"/>
        <v>28</v>
      </c>
      <c r="C34" s="18" t="s">
        <v>115</v>
      </c>
      <c r="D34" s="19">
        <v>2</v>
      </c>
      <c r="E34" s="20">
        <v>2E-3</v>
      </c>
      <c r="F34" s="8">
        <f t="shared" si="0"/>
        <v>4.0000000000000001E-3</v>
      </c>
      <c r="G34" s="36">
        <v>76672</v>
      </c>
      <c r="H34" s="20" t="s">
        <v>116</v>
      </c>
      <c r="I34" s="20" t="s">
        <v>136</v>
      </c>
      <c r="J34" s="19" t="s">
        <v>133</v>
      </c>
      <c r="K34" s="20">
        <v>603</v>
      </c>
      <c r="L34" s="13"/>
    </row>
    <row r="35" spans="1:12" x14ac:dyDescent="0.25">
      <c r="A35" s="4"/>
      <c r="B35" s="10">
        <f t="shared" si="1"/>
        <v>29</v>
      </c>
      <c r="C35" s="18" t="s">
        <v>63</v>
      </c>
      <c r="D35" s="19">
        <v>1</v>
      </c>
      <c r="E35" s="20">
        <v>5.4999999999999997E-3</v>
      </c>
      <c r="F35" s="8">
        <f t="shared" si="0"/>
        <v>5.4999999999999997E-3</v>
      </c>
      <c r="G35" s="36">
        <v>431343</v>
      </c>
      <c r="H35" s="20" t="s">
        <v>67</v>
      </c>
      <c r="I35" s="20" t="s">
        <v>137</v>
      </c>
      <c r="J35" s="19" t="s">
        <v>133</v>
      </c>
      <c r="K35" s="20">
        <v>1206</v>
      </c>
      <c r="L35" s="13"/>
    </row>
    <row r="36" spans="1:12" x14ac:dyDescent="0.25">
      <c r="A36" s="4"/>
      <c r="B36" s="10">
        <f t="shared" si="1"/>
        <v>30</v>
      </c>
      <c r="C36" s="18" t="s">
        <v>64</v>
      </c>
      <c r="D36" s="19">
        <v>2</v>
      </c>
      <c r="E36" s="20">
        <v>2E-3</v>
      </c>
      <c r="F36" s="8">
        <f t="shared" si="0"/>
        <v>4.0000000000000001E-3</v>
      </c>
      <c r="G36" s="36">
        <v>206672</v>
      </c>
      <c r="H36" s="20" t="s">
        <v>72</v>
      </c>
      <c r="I36" s="20" t="s">
        <v>138</v>
      </c>
      <c r="J36" s="19" t="s">
        <v>133</v>
      </c>
      <c r="K36" s="20">
        <v>603</v>
      </c>
      <c r="L36" s="13"/>
    </row>
    <row r="37" spans="1:12" x14ac:dyDescent="0.25">
      <c r="A37" s="4"/>
      <c r="B37" s="10">
        <f t="shared" si="1"/>
        <v>31</v>
      </c>
      <c r="C37" s="18" t="s">
        <v>147</v>
      </c>
      <c r="D37" s="19">
        <v>1</v>
      </c>
      <c r="E37" s="20">
        <v>2.8999999999999998E-3</v>
      </c>
      <c r="F37" s="8">
        <f t="shared" si="0"/>
        <v>2.8999999999999998E-3</v>
      </c>
      <c r="G37" s="36">
        <v>76672</v>
      </c>
      <c r="H37" s="20" t="s">
        <v>148</v>
      </c>
      <c r="I37" s="20"/>
      <c r="J37" s="19" t="s">
        <v>133</v>
      </c>
      <c r="K37" s="20">
        <v>603</v>
      </c>
      <c r="L37" s="13"/>
    </row>
    <row r="38" spans="1:12" x14ac:dyDescent="0.25">
      <c r="A38" s="4"/>
      <c r="B38" s="10">
        <f t="shared" si="1"/>
        <v>32</v>
      </c>
      <c r="C38" s="18" t="s">
        <v>77</v>
      </c>
      <c r="D38" s="19">
        <v>1</v>
      </c>
      <c r="E38" s="20">
        <v>2.9899999999999999E-2</v>
      </c>
      <c r="F38" s="8">
        <f t="shared" si="0"/>
        <v>2.9899999999999999E-2</v>
      </c>
      <c r="G38" s="36">
        <v>249648</v>
      </c>
      <c r="H38" s="20" t="s">
        <v>78</v>
      </c>
      <c r="I38" s="20" t="s">
        <v>141</v>
      </c>
      <c r="J38" s="19" t="s">
        <v>140</v>
      </c>
      <c r="K38" s="20" t="s">
        <v>79</v>
      </c>
      <c r="L38" s="13" t="s">
        <v>139</v>
      </c>
    </row>
    <row r="39" spans="1:12" ht="15.75" thickBot="1" x14ac:dyDescent="0.3">
      <c r="A39" s="4"/>
      <c r="B39" s="17"/>
      <c r="C39" s="18" t="s">
        <v>16</v>
      </c>
      <c r="D39" s="24">
        <f>SUM(D7:D38)</f>
        <v>61</v>
      </c>
      <c r="E39" s="24"/>
      <c r="F39" s="31">
        <f>SUM(F7:F38)</f>
        <v>10.319799999999999</v>
      </c>
      <c r="G39" s="12"/>
      <c r="H39" s="11"/>
      <c r="I39" s="11"/>
      <c r="J39" s="11"/>
      <c r="K39" s="11"/>
      <c r="L39" s="14"/>
    </row>
    <row r="40" spans="1:12" x14ac:dyDescent="0.25">
      <c r="A40" s="3"/>
      <c r="B40" s="3"/>
      <c r="C40" s="25"/>
      <c r="D40" s="28"/>
      <c r="E40" s="28"/>
      <c r="F40" s="32"/>
      <c r="G40" s="3"/>
      <c r="H40" s="3"/>
      <c r="I40" s="3"/>
      <c r="J40" s="3"/>
    </row>
    <row r="41" spans="1:12" x14ac:dyDescent="0.25">
      <c r="A41" s="3"/>
      <c r="B41" s="3"/>
      <c r="C41" s="26"/>
      <c r="D41" s="29"/>
      <c r="E41" s="29"/>
      <c r="F41" s="33"/>
      <c r="G41" s="3"/>
      <c r="H41" s="3"/>
      <c r="I41" s="3"/>
      <c r="J41" s="3"/>
    </row>
    <row r="42" spans="1:12" x14ac:dyDescent="0.25">
      <c r="C42" s="26"/>
      <c r="D42" s="29"/>
      <c r="E42" s="29"/>
      <c r="F42" s="33"/>
      <c r="I42" s="3"/>
    </row>
    <row r="43" spans="1:12" ht="15.75" thickBot="1" x14ac:dyDescent="0.3">
      <c r="B43" t="s">
        <v>15</v>
      </c>
      <c r="C43" s="27"/>
      <c r="D43" s="30"/>
      <c r="E43" s="30"/>
      <c r="F43" s="34"/>
      <c r="I43" s="3"/>
    </row>
    <row r="44" spans="1:12" x14ac:dyDescent="0.25">
      <c r="I44" s="3"/>
    </row>
    <row r="45" spans="1:12" x14ac:dyDescent="0.25">
      <c r="I45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8" r:id="rId15"/>
  </hyperlinks>
  <pageMargins left="0.7" right="0.7" top="0.75" bottom="0.75" header="0.3" footer="0.3"/>
  <pageSetup paperSize="9" scale="49" orientation="landscape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2014-06-26T09:44:13Z</dcterms:modified>
</cp:coreProperties>
</file>