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90" windowWidth="28335" windowHeight="14505"/>
  </bookViews>
  <sheets>
    <sheet name="BoM" sheetId="1" r:id="rId1"/>
    <sheet name="Feuil2" sheetId="2" r:id="rId2"/>
    <sheet name="Feuil3" sheetId="3" r:id="rId3"/>
  </sheets>
  <calcPr calcId="125725"/>
</workbook>
</file>

<file path=xl/calcChain.xml><?xml version="1.0" encoding="utf-8"?>
<calcChain xmlns="http://schemas.openxmlformats.org/spreadsheetml/2006/main">
  <c r="F16" i="1"/>
  <c r="F15"/>
  <c r="F14"/>
  <c r="F13"/>
  <c r="F12"/>
  <c r="F17" s="1"/>
  <c r="F10"/>
  <c r="F9"/>
  <c r="D17"/>
  <c r="F11"/>
</calcChain>
</file>

<file path=xl/sharedStrings.xml><?xml version="1.0" encoding="utf-8"?>
<sst xmlns="http://schemas.openxmlformats.org/spreadsheetml/2006/main" count="57" uniqueCount="54">
  <si>
    <t>Item</t>
  </si>
  <si>
    <t>Qty</t>
  </si>
  <si>
    <t>Description</t>
  </si>
  <si>
    <t>Manufacturer P/N</t>
  </si>
  <si>
    <t>Manufacturer</t>
  </si>
  <si>
    <t>Internet link</t>
  </si>
  <si>
    <t>Packaging</t>
  </si>
  <si>
    <t>Schematics Ref</t>
  </si>
  <si>
    <t>Project components for 1 prototype</t>
  </si>
  <si>
    <t>Prototype quantity :</t>
  </si>
  <si>
    <t>Total price</t>
  </si>
  <si>
    <t>Stock</t>
  </si>
  <si>
    <t>Price/chip</t>
  </si>
  <si>
    <t>Total:</t>
  </si>
  <si>
    <t>http://www.digikey.com/product-detail/en/AT42QT2120-MMHR/AT42QT2120-MMHRCT-ND/3678702</t>
  </si>
  <si>
    <t>http://www.digikey.com/product-detail/en/ERJ-3EKF1002V/P10.0KHCT-ND/198102</t>
  </si>
  <si>
    <t>http://www.digikey.com/product-detail/en/DF9-9P-1V(32)/H10409CT-ND/1015398</t>
  </si>
  <si>
    <t>U2</t>
  </si>
  <si>
    <t>U1</t>
  </si>
  <si>
    <t>D1 D2 D3 D4 D5 D6 D7 D8 D9 D10</t>
  </si>
  <si>
    <t>http://www.digikey.com/product-detail/en/GRM188R71H104KA93D/490-1519-1-ND/587854</t>
  </si>
  <si>
    <t>C1</t>
  </si>
  <si>
    <t>R13 R14 R15 R16</t>
  </si>
  <si>
    <t>R17 R18</t>
  </si>
  <si>
    <t>Atmel</t>
  </si>
  <si>
    <t>AT42QT2120-MMHR</t>
  </si>
  <si>
    <t>IC TOUCH SENSOR 12CH 20VQFN</t>
  </si>
  <si>
    <t>20-VQFN (3x3)</t>
  </si>
  <si>
    <t>Hirose Electric Co Ltd</t>
  </si>
  <si>
    <t>DF9-9P-1V(32)</t>
  </si>
  <si>
    <t>CONN HEADER 9POS 1MM SMD TIN</t>
  </si>
  <si>
    <t>1206 (3216 Metric)</t>
  </si>
  <si>
    <t>CAP CER 0.1UF 50V 10% X7R 0603</t>
  </si>
  <si>
    <t>0603 (1608 Metric)</t>
  </si>
  <si>
    <t>Panasonic Electronic Components</t>
  </si>
  <si>
    <t>ERJ-3EKF1002V</t>
  </si>
  <si>
    <t>RES 10K OHM 1/10W 1% 0603 SMD</t>
  </si>
  <si>
    <t>http://www.digikey.com/product-detail/en/ERJ-3EKF3900V/P390HCT-ND/1746771</t>
  </si>
  <si>
    <t>http://www.digikey.com/product-detail/en/ERJ-3EKF7500V/P750HCT-ND/198504</t>
  </si>
  <si>
    <t>ERJ-3EKF7500V</t>
  </si>
  <si>
    <t>RES 750 OHM 1/10W 1% 0603 SMD</t>
  </si>
  <si>
    <t>ERJ-3EKF3900V</t>
  </si>
  <si>
    <t>RES 390 OHM 1/10W 1% 0603 SMD</t>
  </si>
  <si>
    <t>http://www.digikey.com/product-detail/en/597-6901-607F/350-2306-1-ND/2224774</t>
  </si>
  <si>
    <t>Dialight</t>
  </si>
  <si>
    <t>597-6901-607F</t>
  </si>
  <si>
    <t>LED WHITE ROUND DIFFUSED 1206</t>
  </si>
  <si>
    <t>CL10B104KB8NNNC</t>
  </si>
  <si>
    <t>Samsung</t>
  </si>
  <si>
    <t>R1 R2</t>
  </si>
  <si>
    <t>R9 R10 R11 R12</t>
  </si>
  <si>
    <t>RES 4.7K OHM 1/10W 1% 0603 SMD</t>
  </si>
  <si>
    <t>ERJ-3EKF4701V</t>
  </si>
  <si>
    <t>http://www.digikey.com/product-detail/en/ERJ-3EKF4701V/P4.70KHCT-ND/1746782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</si>
</sst>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sz val="8"/>
      <color theme="1"/>
      <name val="Calibri"/>
      <family val="2"/>
      <scheme val="minor"/>
    </font>
    <font>
      <b/>
      <sz val="10"/>
      <color theme="4"/>
      <name val="Arial"/>
      <family val="2"/>
    </font>
    <font>
      <sz val="8"/>
      <color theme="4"/>
      <name val="Arial"/>
      <family val="2"/>
    </font>
    <font>
      <u/>
      <sz val="8"/>
      <color theme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theme="4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0" fontId="1" fillId="0" borderId="0" xfId="0" applyFont="1" applyBorder="1" applyAlignment="1"/>
    <xf numFmtId="0" fontId="0" fillId="0" borderId="0" xfId="0" applyAlignment="1">
      <alignment horizontal="center"/>
    </xf>
    <xf numFmtId="0" fontId="0" fillId="0" borderId="0" xfId="0" applyBorder="1"/>
    <xf numFmtId="0" fontId="5" fillId="0" borderId="0" xfId="0" applyFont="1"/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8" xfId="1" applyFont="1" applyBorder="1" applyAlignment="1">
      <alignment horizontal="center" vertical="center" wrapText="1"/>
    </xf>
    <xf numFmtId="0" fontId="7" fillId="2" borderId="1" xfId="1" applyFont="1" applyFill="1" applyBorder="1" applyAlignment="1">
      <alignment horizontal="center" vertical="center"/>
    </xf>
    <xf numFmtId="0" fontId="7" fillId="2" borderId="1" xfId="1" applyFont="1" applyFill="1" applyBorder="1" applyAlignment="1">
      <alignment horizontal="center" vertical="center" wrapText="1"/>
    </xf>
    <xf numFmtId="0" fontId="6" fillId="2" borderId="2" xfId="1" applyFont="1" applyFill="1" applyBorder="1" applyAlignment="1">
      <alignment horizontal="center" vertical="center" wrapText="1"/>
    </xf>
    <xf numFmtId="0" fontId="7" fillId="2" borderId="4" xfId="1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4" fillId="2" borderId="3" xfId="2" applyFill="1" applyBorder="1" applyAlignment="1" applyProtection="1">
      <alignment horizontal="center" vertical="center"/>
    </xf>
    <xf numFmtId="0" fontId="8" fillId="2" borderId="5" xfId="2" applyFont="1" applyFill="1" applyBorder="1" applyAlignment="1" applyProtection="1">
      <alignment horizontal="center"/>
    </xf>
    <xf numFmtId="0" fontId="3" fillId="0" borderId="9" xfId="1" applyFont="1" applyBorder="1" applyAlignment="1">
      <alignment horizontal="center" vertical="center" wrapText="1"/>
    </xf>
    <xf numFmtId="0" fontId="6" fillId="2" borderId="10" xfId="1" applyFont="1" applyFill="1" applyBorder="1" applyAlignment="1">
      <alignment horizontal="center" vertical="center" wrapText="1"/>
    </xf>
    <xf numFmtId="0" fontId="6" fillId="2" borderId="11" xfId="1" applyFont="1" applyFill="1" applyBorder="1" applyAlignment="1">
      <alignment horizontal="center" vertical="center" wrapText="1"/>
    </xf>
    <xf numFmtId="0" fontId="6" fillId="2" borderId="12" xfId="1" applyFont="1" applyFill="1" applyBorder="1" applyAlignment="1">
      <alignment horizontal="center" vertical="center" wrapText="1"/>
    </xf>
    <xf numFmtId="0" fontId="7" fillId="2" borderId="13" xfId="1" applyFont="1" applyFill="1" applyBorder="1" applyAlignment="1">
      <alignment horizontal="center" vertical="center"/>
    </xf>
    <xf numFmtId="0" fontId="7" fillId="2" borderId="13" xfId="1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13" xfId="0" applyFont="1" applyFill="1" applyBorder="1" applyAlignment="1">
      <alignment horizontal="center"/>
    </xf>
    <xf numFmtId="0" fontId="9" fillId="2" borderId="6" xfId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7" fillId="0" borderId="1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0" fontId="10" fillId="0" borderId="17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3" fontId="7" fillId="2" borderId="1" xfId="1" applyNumberFormat="1" applyFont="1" applyFill="1" applyBorder="1" applyAlignment="1">
      <alignment horizontal="center" vertical="center" wrapText="1"/>
    </xf>
    <xf numFmtId="3" fontId="7" fillId="2" borderId="13" xfId="1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</cellXfs>
  <cellStyles count="3">
    <cellStyle name="Lien hypertexte" xfId="2" builtinId="8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digikey.com/product-detail/en/GRM188R71H104KA93D/490-1519-1-ND/587854" TargetMode="External"/><Relationship Id="rId3" Type="http://schemas.openxmlformats.org/officeDocument/2006/relationships/hyperlink" Target="http://www.digikey.com/product-detail/en/AT42QT2120-MMHR/AT42QT2120-MMHRCT-ND/3678702" TargetMode="External"/><Relationship Id="rId7" Type="http://schemas.openxmlformats.org/officeDocument/2006/relationships/hyperlink" Target="http://www.digikey.com/product-detail/en/ERJ-3EKF1002V/P10.0KHCT-ND/198102" TargetMode="External"/><Relationship Id="rId2" Type="http://schemas.openxmlformats.org/officeDocument/2006/relationships/hyperlink" Target="http://www.digikey.com/product-detail/en/DF9-9P-1V(32)/H10409CT-ND/1015398" TargetMode="External"/><Relationship Id="rId1" Type="http://schemas.openxmlformats.org/officeDocument/2006/relationships/hyperlink" Target="http://www.digikey.com/product-detail/en/597-6901-607F/350-2306-1-ND/2224774" TargetMode="External"/><Relationship Id="rId6" Type="http://schemas.openxmlformats.org/officeDocument/2006/relationships/hyperlink" Target="http://www.digikey.com/product-detail/en/ERJ-3EKF3900V/P390HCT-ND/1746771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://www.digikey.com/product-detail/en/ERJ-3EKF7500V/P750HCT-ND/198504" TargetMode="External"/><Relationship Id="rId4" Type="http://schemas.openxmlformats.org/officeDocument/2006/relationships/hyperlink" Target="http://www.digikey.com/product-detail/en/ERJ-3EKF4701V/P4.70KHCT-ND/1746782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>
    <pageSetUpPr fitToPage="1"/>
  </sheetPr>
  <dimension ref="A2:N23"/>
  <sheetViews>
    <sheetView tabSelected="1" zoomScale="130" zoomScaleNormal="130" workbookViewId="0">
      <selection activeCell="H15" sqref="H15"/>
    </sheetView>
  </sheetViews>
  <sheetFormatPr baseColWidth="10" defaultRowHeight="15"/>
  <cols>
    <col min="1" max="1" width="1.85546875" customWidth="1"/>
    <col min="2" max="2" width="5.140625" customWidth="1"/>
    <col min="3" max="3" width="25.42578125" customWidth="1"/>
    <col min="4" max="4" width="5.85546875" customWidth="1"/>
    <col min="5" max="5" width="10.7109375" customWidth="1"/>
    <col min="6" max="6" width="11" customWidth="1"/>
    <col min="7" max="7" width="8.85546875" customWidth="1"/>
    <col min="8" max="8" width="36.5703125" customWidth="1"/>
    <col min="9" max="9" width="23.42578125" customWidth="1"/>
    <col min="10" max="10" width="28.42578125" customWidth="1"/>
    <col min="11" max="11" width="18" bestFit="1" customWidth="1"/>
    <col min="12" max="12" width="96.28515625" bestFit="1" customWidth="1"/>
  </cols>
  <sheetData>
    <row r="2" spans="1:14" ht="23.25" customHeight="1">
      <c r="B2" s="37" t="s">
        <v>8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1"/>
      <c r="N2" s="1"/>
    </row>
    <row r="3" spans="1:14">
      <c r="B3" s="2"/>
      <c r="C3" s="2"/>
      <c r="D3" s="2"/>
      <c r="E3" s="2"/>
      <c r="F3" s="2"/>
      <c r="G3" s="2"/>
      <c r="H3" s="2"/>
      <c r="I3" s="2"/>
      <c r="J3" s="2"/>
      <c r="K3" s="2"/>
      <c r="L3" s="2"/>
    </row>
    <row r="4" spans="1:14"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4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4" ht="15.75" thickBot="1">
      <c r="B6" s="2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4" ht="15.75" thickBot="1">
      <c r="B7" s="2"/>
      <c r="C7" s="21" t="s">
        <v>9</v>
      </c>
      <c r="D7" s="22">
        <v>1000</v>
      </c>
      <c r="E7" s="2"/>
      <c r="F7" s="2"/>
      <c r="G7" s="2"/>
      <c r="H7" s="2"/>
      <c r="I7" s="2"/>
      <c r="J7" s="2"/>
      <c r="K7" s="2"/>
      <c r="L7" s="2"/>
    </row>
    <row r="8" spans="1:14" ht="19.5" customHeight="1">
      <c r="B8" s="5" t="s">
        <v>0</v>
      </c>
      <c r="C8" s="15" t="s">
        <v>7</v>
      </c>
      <c r="D8" s="6" t="s">
        <v>1</v>
      </c>
      <c r="E8" s="6" t="s">
        <v>12</v>
      </c>
      <c r="F8" s="6" t="s">
        <v>10</v>
      </c>
      <c r="G8" s="6" t="s">
        <v>11</v>
      </c>
      <c r="H8" s="6" t="s">
        <v>2</v>
      </c>
      <c r="I8" s="6" t="s">
        <v>3</v>
      </c>
      <c r="J8" s="6" t="s">
        <v>4</v>
      </c>
      <c r="K8" s="6" t="s">
        <v>6</v>
      </c>
      <c r="L8" s="7" t="s">
        <v>5</v>
      </c>
    </row>
    <row r="9" spans="1:14">
      <c r="A9" s="4"/>
      <c r="B9" s="10">
        <v>1</v>
      </c>
      <c r="C9" s="16" t="s">
        <v>17</v>
      </c>
      <c r="D9" s="8">
        <v>1</v>
      </c>
      <c r="E9" s="9">
        <v>1.6478999999999999</v>
      </c>
      <c r="F9" s="8">
        <f t="shared" ref="F9:F10" si="0">D9*E9</f>
        <v>1.6478999999999999</v>
      </c>
      <c r="G9" s="35">
        <v>4563</v>
      </c>
      <c r="H9" s="9" t="s">
        <v>26</v>
      </c>
      <c r="I9" s="9" t="s">
        <v>25</v>
      </c>
      <c r="J9" s="8" t="s">
        <v>24</v>
      </c>
      <c r="K9" s="9" t="s">
        <v>27</v>
      </c>
      <c r="L9" s="13" t="s">
        <v>14</v>
      </c>
    </row>
    <row r="10" spans="1:14">
      <c r="A10" s="4"/>
      <c r="B10" s="10">
        <v>2</v>
      </c>
      <c r="C10" s="16" t="s">
        <v>18</v>
      </c>
      <c r="D10" s="8">
        <v>1</v>
      </c>
      <c r="E10" s="9">
        <v>0.6966</v>
      </c>
      <c r="F10" s="8">
        <f t="shared" si="0"/>
        <v>0.6966</v>
      </c>
      <c r="G10" s="35">
        <v>1755</v>
      </c>
      <c r="H10" s="9" t="s">
        <v>30</v>
      </c>
      <c r="I10" s="9" t="s">
        <v>29</v>
      </c>
      <c r="J10" s="8" t="s">
        <v>28</v>
      </c>
      <c r="K10" s="9"/>
      <c r="L10" s="13" t="s">
        <v>16</v>
      </c>
    </row>
    <row r="11" spans="1:14" ht="25.5">
      <c r="A11" s="4"/>
      <c r="B11" s="10">
        <v>3</v>
      </c>
      <c r="C11" s="18" t="s">
        <v>19</v>
      </c>
      <c r="D11" s="19">
        <v>10</v>
      </c>
      <c r="E11" s="20">
        <v>0.29699999999999999</v>
      </c>
      <c r="F11" s="8">
        <f>D11*E11</f>
        <v>2.9699999999999998</v>
      </c>
      <c r="G11" s="36">
        <v>92639</v>
      </c>
      <c r="H11" s="20" t="s">
        <v>46</v>
      </c>
      <c r="I11" s="20" t="s">
        <v>45</v>
      </c>
      <c r="J11" s="19" t="s">
        <v>44</v>
      </c>
      <c r="K11" s="20" t="s">
        <v>31</v>
      </c>
      <c r="L11" s="13" t="s">
        <v>43</v>
      </c>
    </row>
    <row r="12" spans="1:14">
      <c r="A12" s="4"/>
      <c r="B12" s="10">
        <v>4</v>
      </c>
      <c r="C12" s="16" t="s">
        <v>21</v>
      </c>
      <c r="D12" s="8">
        <v>1</v>
      </c>
      <c r="E12" s="9">
        <v>3.2000000000000002E-3</v>
      </c>
      <c r="F12" s="8">
        <f t="shared" ref="F12:F16" si="1">D12*E12</f>
        <v>3.2000000000000002E-3</v>
      </c>
      <c r="G12" s="35">
        <v>1519603</v>
      </c>
      <c r="H12" s="9" t="s">
        <v>32</v>
      </c>
      <c r="I12" s="23" t="s">
        <v>47</v>
      </c>
      <c r="J12" s="9" t="s">
        <v>48</v>
      </c>
      <c r="K12" s="9" t="s">
        <v>33</v>
      </c>
      <c r="L12" s="13" t="s">
        <v>20</v>
      </c>
    </row>
    <row r="13" spans="1:14">
      <c r="A13" s="4"/>
      <c r="B13" s="10">
        <v>5</v>
      </c>
      <c r="C13" s="18" t="s">
        <v>49</v>
      </c>
      <c r="D13" s="19">
        <v>2</v>
      </c>
      <c r="E13" s="20">
        <v>2E-3</v>
      </c>
      <c r="F13" s="8">
        <f t="shared" si="1"/>
        <v>4.0000000000000001E-3</v>
      </c>
      <c r="G13" s="36">
        <v>4828444</v>
      </c>
      <c r="H13" s="20" t="s">
        <v>36</v>
      </c>
      <c r="I13" s="20" t="s">
        <v>35</v>
      </c>
      <c r="J13" s="19" t="s">
        <v>34</v>
      </c>
      <c r="K13" s="20">
        <v>603</v>
      </c>
      <c r="L13" s="13" t="s">
        <v>15</v>
      </c>
    </row>
    <row r="14" spans="1:14">
      <c r="A14" s="4"/>
      <c r="B14" s="10">
        <v>6</v>
      </c>
      <c r="C14" s="18" t="s">
        <v>50</v>
      </c>
      <c r="D14" s="19">
        <v>4</v>
      </c>
      <c r="E14" s="20">
        <v>2E-3</v>
      </c>
      <c r="F14" s="8">
        <f t="shared" si="1"/>
        <v>8.0000000000000002E-3</v>
      </c>
      <c r="G14" s="36">
        <v>436718</v>
      </c>
      <c r="H14" s="20" t="s">
        <v>51</v>
      </c>
      <c r="I14" s="20" t="s">
        <v>52</v>
      </c>
      <c r="J14" s="19" t="s">
        <v>34</v>
      </c>
      <c r="K14" s="20">
        <v>603</v>
      </c>
      <c r="L14" s="13" t="s">
        <v>53</v>
      </c>
    </row>
    <row r="15" spans="1:14">
      <c r="A15" s="4"/>
      <c r="B15" s="10">
        <v>7</v>
      </c>
      <c r="C15" s="16" t="s">
        <v>23</v>
      </c>
      <c r="D15" s="8">
        <v>2</v>
      </c>
      <c r="E15" s="20">
        <v>2E-3</v>
      </c>
      <c r="F15" s="8">
        <f t="shared" si="1"/>
        <v>4.0000000000000001E-3</v>
      </c>
      <c r="G15" s="35">
        <v>198510</v>
      </c>
      <c r="H15" s="9" t="s">
        <v>40</v>
      </c>
      <c r="I15" s="9" t="s">
        <v>39</v>
      </c>
      <c r="J15" s="8" t="s">
        <v>34</v>
      </c>
      <c r="K15" s="9">
        <v>603</v>
      </c>
      <c r="L15" s="13" t="s">
        <v>38</v>
      </c>
    </row>
    <row r="16" spans="1:14">
      <c r="A16" s="4"/>
      <c r="B16" s="10">
        <v>8</v>
      </c>
      <c r="C16" s="18" t="s">
        <v>22</v>
      </c>
      <c r="D16" s="19">
        <v>4</v>
      </c>
      <c r="E16" s="20">
        <v>2E-3</v>
      </c>
      <c r="F16" s="8">
        <f t="shared" si="1"/>
        <v>8.0000000000000002E-3</v>
      </c>
      <c r="G16" s="36">
        <v>229818</v>
      </c>
      <c r="H16" s="20" t="s">
        <v>42</v>
      </c>
      <c r="I16" s="20" t="s">
        <v>41</v>
      </c>
      <c r="J16" s="19" t="s">
        <v>34</v>
      </c>
      <c r="K16" s="20">
        <v>603</v>
      </c>
      <c r="L16" s="13" t="s">
        <v>37</v>
      </c>
    </row>
    <row r="17" spans="1:12" ht="15.75" thickBot="1">
      <c r="A17" s="4"/>
      <c r="B17" s="17"/>
      <c r="C17" s="18" t="s">
        <v>13</v>
      </c>
      <c r="D17" s="24">
        <f>SUM(D11:D16)</f>
        <v>23</v>
      </c>
      <c r="E17" s="24"/>
      <c r="F17" s="31">
        <f>SUM(F9:F16)</f>
        <v>5.3416999999999986</v>
      </c>
      <c r="G17" s="12"/>
      <c r="H17" s="11"/>
      <c r="I17" s="11"/>
      <c r="J17" s="11"/>
      <c r="K17" s="11"/>
      <c r="L17" s="14"/>
    </row>
    <row r="18" spans="1:12">
      <c r="A18" s="3"/>
      <c r="B18" s="3"/>
      <c r="C18" s="25"/>
      <c r="D18" s="28"/>
      <c r="E18" s="28"/>
      <c r="F18" s="32"/>
      <c r="G18" s="3"/>
      <c r="H18" s="3"/>
      <c r="I18" s="3"/>
      <c r="J18" s="3"/>
    </row>
    <row r="19" spans="1:12">
      <c r="A19" s="3"/>
      <c r="B19" s="3"/>
      <c r="C19" s="26"/>
      <c r="D19" s="29"/>
      <c r="E19" s="29"/>
      <c r="F19" s="33"/>
      <c r="G19" s="3"/>
      <c r="H19" s="3"/>
      <c r="I19" s="3"/>
      <c r="J19" s="3"/>
    </row>
    <row r="20" spans="1:12">
      <c r="C20" s="26"/>
      <c r="D20" s="29"/>
      <c r="E20" s="29"/>
      <c r="F20" s="33"/>
      <c r="I20" s="3"/>
    </row>
    <row r="21" spans="1:12" ht="15.75" thickBot="1">
      <c r="C21" s="27"/>
      <c r="D21" s="30"/>
      <c r="E21" s="30"/>
      <c r="F21" s="34"/>
      <c r="I21" s="3"/>
    </row>
    <row r="22" spans="1:12">
      <c r="I22" s="3"/>
    </row>
    <row r="23" spans="1:12">
      <c r="I23" s="3"/>
    </row>
  </sheetData>
  <mergeCells count="1">
    <mergeCell ref="B2:L2"/>
  </mergeCells>
  <hyperlinks>
    <hyperlink ref="L11" r:id="rId1"/>
    <hyperlink ref="L10" r:id="rId2"/>
    <hyperlink ref="L9" r:id="rId3"/>
    <hyperlink ref="L14" r:id="rId4"/>
    <hyperlink ref="L15" r:id="rId5"/>
    <hyperlink ref="L16" r:id="rId6"/>
    <hyperlink ref="L13" r:id="rId7"/>
    <hyperlink ref="L12" r:id="rId8"/>
  </hyperlinks>
  <pageMargins left="0.7" right="0.7" top="0.75" bottom="0.75" header="0.3" footer="0.3"/>
  <pageSetup paperSize="9" scale="49" orientation="landscape" r:id="rId9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BoM</vt:lpstr>
      <vt:lpstr>Feuil2</vt:lpstr>
      <vt:lpstr>Feuil3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limpkin</dc:creator>
  <cp:lastModifiedBy>limpkin</cp:lastModifiedBy>
  <cp:lastPrinted>2012-07-30T12:19:09Z</cp:lastPrinted>
  <dcterms:created xsi:type="dcterms:W3CDTF">2008-02-20T11:26:06Z</dcterms:created>
  <dcterms:modified xsi:type="dcterms:W3CDTF">2014-08-02T20:49:52Z</dcterms:modified>
</cp:coreProperties>
</file>