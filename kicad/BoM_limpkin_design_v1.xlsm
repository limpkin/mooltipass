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xl/ctrlProps/ctrlProp1.xml" ContentType="application/vnd.ms-excel.controlpropertie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ThisWorkbook" defaultThemeVersion="124226"/>
  <bookViews>
    <workbookView xWindow="240" yWindow="90" windowWidth="28335" windowHeight="14505"/>
  </bookViews>
  <sheets>
    <sheet name="BoM" sheetId="1" r:id="rId1"/>
    <sheet name="Feuil2" sheetId="2" r:id="rId2"/>
    <sheet name="Feuil3" sheetId="3" r:id="rId3"/>
  </sheets>
  <calcPr calcId="125725"/>
</workbook>
</file>

<file path=xl/calcChain.xml><?xml version="1.0" encoding="utf-8"?>
<calcChain xmlns="http://schemas.openxmlformats.org/spreadsheetml/2006/main">
  <c r="F36" i="1"/>
  <c r="D36"/>
  <c r="F34"/>
  <c r="F33"/>
  <c r="F32"/>
  <c r="F31"/>
  <c r="F30"/>
  <c r="F29"/>
  <c r="F28"/>
  <c r="F27"/>
  <c r="F26"/>
  <c r="F25"/>
  <c r="F24"/>
  <c r="F23"/>
  <c r="F22"/>
  <c r="F21"/>
  <c r="F20"/>
  <c r="F19"/>
  <c r="F18"/>
  <c r="F17"/>
  <c r="F16"/>
  <c r="F15"/>
  <c r="F14"/>
  <c r="F13"/>
  <c r="F12"/>
  <c r="F11"/>
  <c r="F10"/>
  <c r="F9"/>
</calcChain>
</file>

<file path=xl/sharedStrings.xml><?xml version="1.0" encoding="utf-8"?>
<sst xmlns="http://schemas.openxmlformats.org/spreadsheetml/2006/main" count="165" uniqueCount="148">
  <si>
    <t>Item</t>
  </si>
  <si>
    <t>Qty</t>
  </si>
  <si>
    <t>Description</t>
  </si>
  <si>
    <t>Manufacturer P/N</t>
  </si>
  <si>
    <t>Manufacturer</t>
  </si>
  <si>
    <t>Internet link</t>
  </si>
  <si>
    <t>Packaging</t>
  </si>
  <si>
    <t>U2</t>
  </si>
  <si>
    <t>U6</t>
  </si>
  <si>
    <t>Schematics Ref</t>
  </si>
  <si>
    <t>Project components for 1 prototype</t>
  </si>
  <si>
    <t>Prototype quantity :</t>
  </si>
  <si>
    <t>Total price</t>
  </si>
  <si>
    <t>Stock</t>
  </si>
  <si>
    <t>Price/chip</t>
  </si>
  <si>
    <t>Total for 100 prototypes :</t>
  </si>
  <si>
    <t xml:space="preserve"> </t>
  </si>
  <si>
    <t>Total for 10k "prototypes" :</t>
  </si>
  <si>
    <t>Total for 5000 prototypes :</t>
  </si>
  <si>
    <t>Total for 1000 prototypes :</t>
  </si>
  <si>
    <t>Total:</t>
  </si>
  <si>
    <t>Atmel</t>
  </si>
  <si>
    <t>SOT-23-3</t>
  </si>
  <si>
    <t>http://www.digikey.com/product-detail/en/7334L2622F01LF/609-1404-ND/1001718</t>
  </si>
  <si>
    <t>FCI</t>
  </si>
  <si>
    <t>7334L2622F01LF</t>
  </si>
  <si>
    <t>CONN SMARTCARD 8POS W/COVER PCB</t>
  </si>
  <si>
    <t>http://www.digikey.com/product-detail/en/ATMEGA32U4-MU/ATMEGA32U4-MU-ND/1914603</t>
  </si>
  <si>
    <t>ATMEGA32U4-MU</t>
  </si>
  <si>
    <t>IC MCU 8BIT 32KB FLASH 44QFN</t>
  </si>
  <si>
    <t>44-VFQFN Exposed Pad</t>
  </si>
  <si>
    <t>http://www.digikey.com/product-detail/en/IP4234CZ6,125/568-5869-1-ND/2531156</t>
  </si>
  <si>
    <t>NXP Semiconductors</t>
  </si>
  <si>
    <t>IP4234CZ6,125</t>
  </si>
  <si>
    <t>6-TSOP</t>
  </si>
  <si>
    <t>http://www.digikey.com/product-detail/en/ST662ACD-TR/497-6542-1-ND/1865353</t>
  </si>
  <si>
    <t>STMicroelectronics</t>
  </si>
  <si>
    <t>ST662ACD-TR</t>
  </si>
  <si>
    <t>IC REG SWITCHED CAP ADJ 8SOIC</t>
  </si>
  <si>
    <t>8-SO</t>
  </si>
  <si>
    <t>http://www.digikey.com/product-detail/en/742C163222JP/742C163222JPCT-ND/1124507</t>
  </si>
  <si>
    <t>http://www.digikey.com/product-detail/en/2N7002ET1G/2N7002ET1GOSCT-ND/1967029</t>
  </si>
  <si>
    <t>http://www.digikey.com/product-detail/en/AO3401A/785-1001-1-ND/1855943</t>
  </si>
  <si>
    <t>CTS Resistor Products</t>
  </si>
  <si>
    <t>742C163222JP</t>
  </si>
  <si>
    <t>RES ARRAY 2.2K OHM 8 RES 2506</t>
  </si>
  <si>
    <t>ON Semiconductor</t>
  </si>
  <si>
    <t>2N7002ET1G</t>
  </si>
  <si>
    <t>MOSFET N-CH 60V 260MA SOT-23</t>
  </si>
  <si>
    <t>SOT-23-3 (TO-236)</t>
  </si>
  <si>
    <t>Alpha &amp;amp; Omega Semiconductor Inc</t>
  </si>
  <si>
    <t>AO3401A</t>
  </si>
  <si>
    <t>MOSFET P-CH -30V -4.3A SOT23</t>
  </si>
  <si>
    <t>http://www.digikey.com/product-detail/en/SFV30R-2STE1HLF/609-4327-1-ND/2626778</t>
  </si>
  <si>
    <t>SFV30R-2STE1HLF</t>
  </si>
  <si>
    <t>CONN FPC/FFC 30POS .5MM R/A SMD</t>
  </si>
  <si>
    <t>http://www.digikey.com/product-detail/en/GRM21BR61C106KE15L/490-3886-1-ND/965928</t>
  </si>
  <si>
    <t>http://www.digikey.com/product-detail/en/EMK107ABJ475KA-T/587-2786-1-ND/2573980</t>
  </si>
  <si>
    <t>C1 C12</t>
  </si>
  <si>
    <t>http://www.digikey.com/product-detail/en/EMK107B7105KA-T/587-1241-1-ND/931018</t>
  </si>
  <si>
    <t>C7 C19 C21</t>
  </si>
  <si>
    <t>http://www.digikey.com/product-detail/en/TMK212BJ475KG-T/587-1782-1-ND/1212798</t>
  </si>
  <si>
    <t>C9</t>
  </si>
  <si>
    <t>http://www.digikey.com/product-detail/en/GRM188R71H104KA93D/490-1519-1-ND/587854</t>
  </si>
  <si>
    <t>U4</t>
  </si>
  <si>
    <t>U3</t>
  </si>
  <si>
    <t>U5</t>
  </si>
  <si>
    <t>R7</t>
  </si>
  <si>
    <t>R6</t>
  </si>
  <si>
    <t>Q2</t>
  </si>
  <si>
    <t>Q1 Q3</t>
  </si>
  <si>
    <t>U1</t>
  </si>
  <si>
    <t>Murata Electronics North America</t>
  </si>
  <si>
    <t>GRM21BR61C106KE15L</t>
  </si>
  <si>
    <t>CAP CER 10UF 16V 10% X5R 0805</t>
  </si>
  <si>
    <t>0805 (2012 Metric)</t>
  </si>
  <si>
    <t>Taiyo Yuden</t>
  </si>
  <si>
    <t>EMK107ABJ475KA-T</t>
  </si>
  <si>
    <t>CAP CER 4.7UF 16V 10% X5R 0603</t>
  </si>
  <si>
    <t>0603 (1608 Metric)</t>
  </si>
  <si>
    <t>TMK212BJ475KG-T</t>
  </si>
  <si>
    <t>CAP CER 4.7UF 25V 10% X5R 0805</t>
  </si>
  <si>
    <t>GRM188R71H104KA93D</t>
  </si>
  <si>
    <t>CAP CER 0.1UF 50V 10% X7R 0603</t>
  </si>
  <si>
    <t>EMK107B7105KA-T</t>
  </si>
  <si>
    <t>CAP CER 1UF 16V 10% X7R 0603</t>
  </si>
  <si>
    <t>http://www.digikey.com/product-detail/en/C1608X7R1C224K080AC/445-1318-1-ND/567690</t>
  </si>
  <si>
    <t>C23 C27</t>
  </si>
  <si>
    <t>http://www.digikey.com/product-detail/en/C1608C0G1H180J080AA/445-1272-1-ND/567674</t>
  </si>
  <si>
    <t>C24 C26</t>
  </si>
  <si>
    <t>TDK Corporation</t>
  </si>
  <si>
    <t>C1608X7R1C224K080AC</t>
  </si>
  <si>
    <t>CAP CER 0.22UF 16V 10% X7R 0603</t>
  </si>
  <si>
    <t>C1608C0G1H180J080AA</t>
  </si>
  <si>
    <t>CAP CER 18PF 50V 5% NP0 0603</t>
  </si>
  <si>
    <t>http://www.digikey.com/product-detail/en/ERJ-8ENF49R9V/P49.9FCT-ND/89199</t>
  </si>
  <si>
    <t>http://www.digikey.com/product-detail/en/ERJ-3EKF6203V/P620KHCT-ND/1746799</t>
  </si>
  <si>
    <t>R2</t>
  </si>
  <si>
    <t>http://www.digikey.com/product-detail/en/BLM18KG601SN1D/490-5258-1-ND/1982781</t>
  </si>
  <si>
    <t>http://www.digikey.com/product-detail/en/ERJ-3EKF1002V/P10.0KHCT-ND/198102</t>
  </si>
  <si>
    <t>http://www.digikey.com/product-detail/en/ERJ-3EKF22R0V/P22.0HCT-ND/1746745</t>
  </si>
  <si>
    <t>R3</t>
  </si>
  <si>
    <t>R8 R9</t>
  </si>
  <si>
    <t>Panasonic Electronic Components</t>
  </si>
  <si>
    <t>ERJ-3EKF6203V</t>
  </si>
  <si>
    <t>RES 620K OHM 1/10W 1% 0603 SMD</t>
  </si>
  <si>
    <t>ERJ-3EKF1002V</t>
  </si>
  <si>
    <t>RES 10K OHM 1/10W 1% 0603 SMD</t>
  </si>
  <si>
    <t>ERJ-8ENF49R9V</t>
  </si>
  <si>
    <t>RES 49.9 OHM 1/4W 1% 1206 SMD</t>
  </si>
  <si>
    <t>X1</t>
  </si>
  <si>
    <t>BLM18KG601SN1D</t>
  </si>
  <si>
    <t>FERRITE CHIP 600 OHM 1300MA 0603</t>
  </si>
  <si>
    <t>4-SMD, No Lead (DFN, LCC)</t>
  </si>
  <si>
    <t>ERJ-3EKF22R0V</t>
  </si>
  <si>
    <t>RES 22 OHM 1/10W 1% 0603 SMD</t>
  </si>
  <si>
    <t>CON2</t>
  </si>
  <si>
    <t>http://www.digikey.com/product-detail/en/TL3315NF160Q/EG4621CT-ND/1870401</t>
  </si>
  <si>
    <t>SW1</t>
  </si>
  <si>
    <t>E-Switch</t>
  </si>
  <si>
    <t>TL3315NF160Q</t>
  </si>
  <si>
    <t>SWITCH TACTILE SPST-NO 0.05A 15V</t>
  </si>
  <si>
    <t>http://www.digikey.com/product-detail/en/10118194-0001LF/609-4618-1-ND/2785382</t>
  </si>
  <si>
    <t>10118194-0001LF</t>
  </si>
  <si>
    <t>CONN USB MICRO B RECPT SMT R/A</t>
  </si>
  <si>
    <t>R4 R5 R10 R11</t>
  </si>
  <si>
    <t>http://www.digikey.com/product-detail/en/CGRM4007-G/641-1330-1-ND/1979695</t>
  </si>
  <si>
    <t>D1</t>
  </si>
  <si>
    <t>Comchip Technology</t>
  </si>
  <si>
    <t>CGRM4007-G</t>
  </si>
  <si>
    <t>DIODE GEN PURP 1KV 1A MINISMA</t>
  </si>
  <si>
    <t>Mini SMA/SOD-123</t>
  </si>
  <si>
    <t>C2 C10 C20 C28</t>
  </si>
  <si>
    <t>C4 C5 C8 C11 C13 C14 C15 C16 C17 C18 C22 C25 C29</t>
  </si>
  <si>
    <t>FB1 FB2</t>
  </si>
  <si>
    <t>http://www.digikey.com/product-detail/en/NX3225SA-16.000000MHZ-STD-CSR-1/644-1049-1-ND/1128921</t>
  </si>
  <si>
    <t>Adesto Technologies</t>
  </si>
  <si>
    <t>IC FLASH 1MBIT 66MHZ 8SOIC</t>
  </si>
  <si>
    <t>8-SOIC</t>
  </si>
  <si>
    <t>NDK</t>
  </si>
  <si>
    <t>NX3225SA-16.000000MHZ-STD-CSR-1</t>
  </si>
  <si>
    <t>CRYSTAL 16MHZ 8PF SMD</t>
  </si>
  <si>
    <t>http://www.digikey.com/product-detail/en/AT45DB011D-SSH-T/1265-1080-1-ND/4360678</t>
  </si>
  <si>
    <t>http://www.digikey.com/product-detail/en/742C163472JP/742C163472JPCT-ND/1124497</t>
  </si>
  <si>
    <t>AT45DB011D-SSH-T</t>
  </si>
  <si>
    <t>TVS DIODE 5.5VWM 6TSOP</t>
  </si>
  <si>
    <t>742C163472JP</t>
  </si>
  <si>
    <t>RES ARRAY 4.7K OHM 8 RES 2506</t>
  </si>
</sst>
</file>

<file path=xl/styles.xml><?xml version="1.0" encoding="utf-8"?>
<styleSheet xmlns="http://schemas.openxmlformats.org/spreadsheetml/2006/main">
  <fonts count="12">
    <font>
      <sz val="11"/>
      <color theme="1"/>
      <name val="Calibri"/>
      <family val="2"/>
      <scheme val="minor"/>
    </font>
    <font>
      <sz val="18"/>
      <color theme="1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u/>
      <sz val="11"/>
      <color theme="10"/>
      <name val="Calibri"/>
      <family val="2"/>
    </font>
    <font>
      <sz val="8"/>
      <color theme="1"/>
      <name val="Calibri"/>
      <family val="2"/>
      <scheme val="minor"/>
    </font>
    <font>
      <b/>
      <sz val="10"/>
      <color theme="4"/>
      <name val="Arial"/>
      <family val="2"/>
    </font>
    <font>
      <sz val="8"/>
      <color theme="4"/>
      <name val="Arial"/>
      <family val="2"/>
    </font>
    <font>
      <u/>
      <sz val="8"/>
      <color theme="10"/>
      <name val="Arial"/>
      <family val="2"/>
    </font>
    <font>
      <b/>
      <sz val="11"/>
      <color theme="1"/>
      <name val="Calibri"/>
      <family val="2"/>
      <scheme val="minor"/>
    </font>
    <font>
      <b/>
      <sz val="9"/>
      <color theme="4"/>
      <name val="Arial"/>
      <family val="2"/>
    </font>
    <font>
      <sz val="11"/>
      <color rgb="FF00000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/>
        <bgColor indexed="64"/>
      </patternFill>
    </fill>
  </fills>
  <borders count="1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</borders>
  <cellStyleXfs count="3">
    <xf numFmtId="0" fontId="0" fillId="0" borderId="0"/>
    <xf numFmtId="0" fontId="2" fillId="0" borderId="0"/>
    <xf numFmtId="0" fontId="4" fillId="0" borderId="0" applyNumberFormat="0" applyFill="0" applyBorder="0" applyAlignment="0" applyProtection="0">
      <alignment vertical="top"/>
      <protection locked="0"/>
    </xf>
  </cellStyleXfs>
  <cellXfs count="39">
    <xf numFmtId="0" fontId="0" fillId="0" borderId="0" xfId="0"/>
    <xf numFmtId="0" fontId="1" fillId="0" borderId="0" xfId="0" applyFont="1" applyBorder="1" applyAlignment="1"/>
    <xf numFmtId="0" fontId="0" fillId="0" borderId="0" xfId="0" applyAlignment="1">
      <alignment horizontal="center"/>
    </xf>
    <xf numFmtId="0" fontId="0" fillId="0" borderId="0" xfId="0" applyBorder="1"/>
    <xf numFmtId="0" fontId="5" fillId="0" borderId="0" xfId="0" applyFont="1"/>
    <xf numFmtId="0" fontId="3" fillId="0" borderId="6" xfId="1" applyFont="1" applyBorder="1" applyAlignment="1">
      <alignment horizontal="center" vertical="center" wrapText="1"/>
    </xf>
    <xf numFmtId="0" fontId="3" fillId="0" borderId="7" xfId="1" applyFont="1" applyBorder="1" applyAlignment="1">
      <alignment horizontal="center" vertical="center" wrapText="1"/>
    </xf>
    <xf numFmtId="0" fontId="3" fillId="0" borderId="8" xfId="1" applyFont="1" applyBorder="1" applyAlignment="1">
      <alignment horizontal="center" vertical="center" wrapText="1"/>
    </xf>
    <xf numFmtId="0" fontId="7" fillId="2" borderId="1" xfId="1" applyFont="1" applyFill="1" applyBorder="1" applyAlignment="1">
      <alignment horizontal="center" vertical="center"/>
    </xf>
    <xf numFmtId="0" fontId="7" fillId="2" borderId="1" xfId="1" applyFont="1" applyFill="1" applyBorder="1" applyAlignment="1">
      <alignment horizontal="center" vertical="center" wrapText="1"/>
    </xf>
    <xf numFmtId="0" fontId="6" fillId="2" borderId="2" xfId="1" applyFont="1" applyFill="1" applyBorder="1" applyAlignment="1">
      <alignment horizontal="center" vertical="center" wrapText="1"/>
    </xf>
    <xf numFmtId="0" fontId="7" fillId="2" borderId="4" xfId="1" applyFont="1" applyFill="1" applyBorder="1" applyAlignment="1">
      <alignment horizontal="center" vertical="center"/>
    </xf>
    <xf numFmtId="0" fontId="7" fillId="2" borderId="4" xfId="0" applyFont="1" applyFill="1" applyBorder="1" applyAlignment="1">
      <alignment horizontal="center"/>
    </xf>
    <xf numFmtId="0" fontId="4" fillId="2" borderId="3" xfId="2" applyFill="1" applyBorder="1" applyAlignment="1" applyProtection="1">
      <alignment horizontal="center" vertical="center"/>
    </xf>
    <xf numFmtId="0" fontId="8" fillId="2" borderId="5" xfId="2" applyFont="1" applyFill="1" applyBorder="1" applyAlignment="1" applyProtection="1">
      <alignment horizontal="center"/>
    </xf>
    <xf numFmtId="0" fontId="3" fillId="0" borderId="9" xfId="1" applyFont="1" applyBorder="1" applyAlignment="1">
      <alignment horizontal="center" vertical="center" wrapText="1"/>
    </xf>
    <xf numFmtId="0" fontId="6" fillId="2" borderId="10" xfId="1" applyFont="1" applyFill="1" applyBorder="1" applyAlignment="1">
      <alignment horizontal="center" vertical="center" wrapText="1"/>
    </xf>
    <xf numFmtId="0" fontId="6" fillId="2" borderId="11" xfId="1" applyFont="1" applyFill="1" applyBorder="1" applyAlignment="1">
      <alignment horizontal="center" vertical="center" wrapText="1"/>
    </xf>
    <xf numFmtId="0" fontId="6" fillId="2" borderId="13" xfId="1" applyFont="1" applyFill="1" applyBorder="1" applyAlignment="1">
      <alignment horizontal="center" vertical="center" wrapText="1"/>
    </xf>
    <xf numFmtId="0" fontId="7" fillId="2" borderId="14" xfId="1" applyFont="1" applyFill="1" applyBorder="1" applyAlignment="1">
      <alignment horizontal="center" vertical="center"/>
    </xf>
    <xf numFmtId="0" fontId="7" fillId="2" borderId="14" xfId="1" applyFont="1" applyFill="1" applyBorder="1" applyAlignment="1">
      <alignment horizontal="center" vertical="center" wrapText="1"/>
    </xf>
    <xf numFmtId="0" fontId="9" fillId="0" borderId="16" xfId="0" applyFont="1" applyBorder="1" applyAlignment="1">
      <alignment horizontal="center"/>
    </xf>
    <xf numFmtId="0" fontId="9" fillId="0" borderId="15" xfId="0" applyFont="1" applyBorder="1" applyAlignment="1">
      <alignment horizontal="center"/>
    </xf>
    <xf numFmtId="0" fontId="7" fillId="2" borderId="1" xfId="0" applyFont="1" applyFill="1" applyBorder="1" applyAlignment="1">
      <alignment horizontal="center" vertical="center" wrapText="1"/>
    </xf>
    <xf numFmtId="0" fontId="7" fillId="2" borderId="14" xfId="0" applyFont="1" applyFill="1" applyBorder="1" applyAlignment="1">
      <alignment horizontal="center"/>
    </xf>
    <xf numFmtId="0" fontId="9" fillId="2" borderId="6" xfId="1" applyFont="1" applyFill="1" applyBorder="1" applyAlignment="1">
      <alignment horizontal="center" vertical="center" wrapText="1"/>
    </xf>
    <xf numFmtId="0" fontId="9" fillId="0" borderId="2" xfId="0" applyFont="1" applyBorder="1" applyAlignment="1">
      <alignment horizontal="center"/>
    </xf>
    <xf numFmtId="0" fontId="9" fillId="0" borderId="11" xfId="0" applyFont="1" applyBorder="1" applyAlignment="1">
      <alignment horizontal="center"/>
    </xf>
    <xf numFmtId="0" fontId="7" fillId="0" borderId="17" xfId="0" applyFont="1" applyBorder="1" applyAlignment="1">
      <alignment horizontal="center" vertical="center"/>
    </xf>
    <xf numFmtId="0" fontId="7" fillId="0" borderId="1" xfId="0" applyFont="1" applyBorder="1" applyAlignment="1">
      <alignment horizontal="center" vertical="center"/>
    </xf>
    <xf numFmtId="0" fontId="7" fillId="0" borderId="4" xfId="0" applyFont="1" applyBorder="1" applyAlignment="1">
      <alignment horizontal="center" vertical="center"/>
    </xf>
    <xf numFmtId="0" fontId="10" fillId="2" borderId="14" xfId="0" applyFont="1" applyFill="1" applyBorder="1" applyAlignment="1">
      <alignment horizontal="center"/>
    </xf>
    <xf numFmtId="0" fontId="10" fillId="0" borderId="18" xfId="0" applyFont="1" applyBorder="1" applyAlignment="1">
      <alignment horizontal="center" vertical="center"/>
    </xf>
    <xf numFmtId="0" fontId="10" fillId="0" borderId="3" xfId="0" applyFont="1" applyBorder="1" applyAlignment="1">
      <alignment horizontal="center" vertical="center"/>
    </xf>
    <xf numFmtId="0" fontId="10" fillId="0" borderId="5" xfId="0" applyFont="1" applyBorder="1" applyAlignment="1">
      <alignment horizontal="center" vertical="center"/>
    </xf>
    <xf numFmtId="3" fontId="7" fillId="2" borderId="1" xfId="1" applyNumberFormat="1" applyFont="1" applyFill="1" applyBorder="1" applyAlignment="1">
      <alignment horizontal="center" vertical="center" wrapText="1"/>
    </xf>
    <xf numFmtId="3" fontId="7" fillId="2" borderId="14" xfId="1" applyNumberFormat="1" applyFont="1" applyFill="1" applyBorder="1" applyAlignment="1">
      <alignment horizontal="center" vertical="center" wrapText="1"/>
    </xf>
    <xf numFmtId="0" fontId="4" fillId="0" borderId="12" xfId="2" applyBorder="1" applyAlignment="1" applyProtection="1">
      <alignment horizontal="center" vertical="center"/>
    </xf>
    <xf numFmtId="0" fontId="1" fillId="0" borderId="0" xfId="0" applyFont="1" applyBorder="1" applyAlignment="1">
      <alignment horizontal="center" vertical="center"/>
    </xf>
  </cellXfs>
  <cellStyles count="3">
    <cellStyle name="Lien hypertexte" xfId="2" builtinId="8"/>
    <cellStyle name="Normal" xfId="0" builtinId="0"/>
    <cellStyle name="Normal 2" xfId="1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hyperlink" Target="http://www.digikey.com/product-detail/en/AO3401A/785-1001-1-ND/1855943" TargetMode="External"/><Relationship Id="rId13" Type="http://schemas.openxmlformats.org/officeDocument/2006/relationships/hyperlink" Target="http://www.digikey.com/product-detail/en/GRM188R71H104KA93D/490-1519-1-ND/587854" TargetMode="External"/><Relationship Id="rId18" Type="http://schemas.openxmlformats.org/officeDocument/2006/relationships/hyperlink" Target="http://www.digikey.com/product-detail/en/BLM18KG601SN1D/490-5258-1-ND/1982781" TargetMode="External"/><Relationship Id="rId26" Type="http://schemas.openxmlformats.org/officeDocument/2006/relationships/hyperlink" Target="http://www.digikey.com/product-detail/en/7334L2622F01LF/609-1404-ND/1001718" TargetMode="External"/><Relationship Id="rId3" Type="http://schemas.openxmlformats.org/officeDocument/2006/relationships/hyperlink" Target="http://www.digikey.com/product-detail/en/IP4234CZ6,125/568-5869-1-ND/2531156" TargetMode="External"/><Relationship Id="rId21" Type="http://schemas.openxmlformats.org/officeDocument/2006/relationships/hyperlink" Target="http://www.digikey.com/product-detail/en/NX3225SA-16.000000MHZ-STD-CSR-1/644-1049-1-ND/1128921" TargetMode="External"/><Relationship Id="rId7" Type="http://schemas.openxmlformats.org/officeDocument/2006/relationships/hyperlink" Target="http://www.digikey.com/product-detail/en/2N7002ET1G/2N7002ET1GOSCT-ND/1967029" TargetMode="External"/><Relationship Id="rId12" Type="http://schemas.openxmlformats.org/officeDocument/2006/relationships/hyperlink" Target="http://www.digikey.com/product-detail/en/TMK212BJ475KG-T/587-1782-1-ND/1212798" TargetMode="External"/><Relationship Id="rId17" Type="http://schemas.openxmlformats.org/officeDocument/2006/relationships/hyperlink" Target="http://www.digikey.com/product-detail/en/ERJ-3EKF6203V/P620KHCT-ND/1746799" TargetMode="External"/><Relationship Id="rId25" Type="http://schemas.openxmlformats.org/officeDocument/2006/relationships/hyperlink" Target="http://www.digikey.com/product-detail/en/SFV30R-2STE1HLF/609-4327-1-ND/2626778" TargetMode="External"/><Relationship Id="rId2" Type="http://schemas.openxmlformats.org/officeDocument/2006/relationships/hyperlink" Target="http://www.digikey.com/product-detail/en/AT45DB011D-SSH-T/1265-1080-1-ND/4360678" TargetMode="External"/><Relationship Id="rId16" Type="http://schemas.openxmlformats.org/officeDocument/2006/relationships/hyperlink" Target="http://www.digikey.com/product-detail/en/ERJ-8ENF49R9V/P49.9FCT-ND/89199" TargetMode="External"/><Relationship Id="rId20" Type="http://schemas.openxmlformats.org/officeDocument/2006/relationships/hyperlink" Target="http://www.digikey.com/product-detail/en/ERJ-3EKF22R0V/P22.0HCT-ND/1746745" TargetMode="External"/><Relationship Id="rId1" Type="http://schemas.openxmlformats.org/officeDocument/2006/relationships/hyperlink" Target="http://www.digikey.com/product-detail/en/ATMEGA32U4-MU/ATMEGA32U4-MU-ND/1914603" TargetMode="External"/><Relationship Id="rId6" Type="http://schemas.openxmlformats.org/officeDocument/2006/relationships/hyperlink" Target="http://www.digikey.com/product-detail/en/742C163222JP/742C163222JPCT-ND/1124507" TargetMode="External"/><Relationship Id="rId11" Type="http://schemas.openxmlformats.org/officeDocument/2006/relationships/hyperlink" Target="http://www.digikey.com/product-detail/en/EMK107B7105KA-T/587-1241-1-ND/931018" TargetMode="External"/><Relationship Id="rId24" Type="http://schemas.openxmlformats.org/officeDocument/2006/relationships/hyperlink" Target="http://www.digikey.com/product-detail/en/CGRM4007-G/641-1330-1-ND/1979695" TargetMode="External"/><Relationship Id="rId5" Type="http://schemas.openxmlformats.org/officeDocument/2006/relationships/hyperlink" Target="http://www.digikey.com/product-detail/en/742C163472JP/742C163472JPCT-ND/1124497" TargetMode="External"/><Relationship Id="rId15" Type="http://schemas.openxmlformats.org/officeDocument/2006/relationships/hyperlink" Target="http://www.digikey.com/product-detail/en/C1608C0G1H180J080AA/445-1272-1-ND/567674" TargetMode="External"/><Relationship Id="rId23" Type="http://schemas.openxmlformats.org/officeDocument/2006/relationships/hyperlink" Target="http://www.digikey.com/product-detail/en/TL3315NF160Q/EG4621CT-ND/1870401" TargetMode="External"/><Relationship Id="rId28" Type="http://schemas.openxmlformats.org/officeDocument/2006/relationships/vmlDrawing" Target="../drawings/vmlDrawing1.vml"/><Relationship Id="rId10" Type="http://schemas.openxmlformats.org/officeDocument/2006/relationships/hyperlink" Target="http://www.digikey.com/product-detail/en/EMK107ABJ475KA-T/587-2786-1-ND/2573980" TargetMode="External"/><Relationship Id="rId19" Type="http://schemas.openxmlformats.org/officeDocument/2006/relationships/hyperlink" Target="http://www.digikey.com/product-detail/en/ERJ-3EKF1002V/P10.0KHCT-ND/198102" TargetMode="External"/><Relationship Id="rId4" Type="http://schemas.openxmlformats.org/officeDocument/2006/relationships/hyperlink" Target="http://www.digikey.com/product-detail/en/ST662ACD-TR/497-6542-1-ND/1865353" TargetMode="External"/><Relationship Id="rId9" Type="http://schemas.openxmlformats.org/officeDocument/2006/relationships/hyperlink" Target="http://www.digikey.com/product-detail/en/GRM21BR61C106KE15L/490-3886-1-ND/965928" TargetMode="External"/><Relationship Id="rId14" Type="http://schemas.openxmlformats.org/officeDocument/2006/relationships/hyperlink" Target="http://www.digikey.com/product-detail/en/C1608X7R1C224K080AC/445-1318-1-ND/567690" TargetMode="External"/><Relationship Id="rId22" Type="http://schemas.openxmlformats.org/officeDocument/2006/relationships/hyperlink" Target="http://www.digikey.com/product-detail/en/10118194-0001LF/609-4618-1-ND/2785382" TargetMode="External"/><Relationship Id="rId27" Type="http://schemas.openxmlformats.org/officeDocument/2006/relationships/printerSettings" Target="../printerSettings/printerSettings1.bin"/><Relationship Id="rId30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Feuil1">
    <pageSetUpPr fitToPage="1"/>
  </sheetPr>
  <dimension ref="A2:N42"/>
  <sheetViews>
    <sheetView tabSelected="1" zoomScale="115" zoomScaleNormal="115" workbookViewId="0">
      <selection activeCell="I27" sqref="I27"/>
    </sheetView>
  </sheetViews>
  <sheetFormatPr baseColWidth="10" defaultRowHeight="15"/>
  <cols>
    <col min="1" max="1" width="1.85546875" customWidth="1"/>
    <col min="2" max="2" width="5.140625" customWidth="1"/>
    <col min="3" max="3" width="25.42578125" customWidth="1"/>
    <col min="4" max="4" width="5.85546875" customWidth="1"/>
    <col min="5" max="5" width="10.7109375" customWidth="1"/>
    <col min="6" max="6" width="11" customWidth="1"/>
    <col min="7" max="7" width="8.85546875" customWidth="1"/>
    <col min="8" max="8" width="36.5703125" customWidth="1"/>
    <col min="9" max="9" width="23.42578125" customWidth="1"/>
    <col min="10" max="10" width="28.42578125" customWidth="1"/>
    <col min="11" max="11" width="18" bestFit="1" customWidth="1"/>
    <col min="12" max="12" width="96.28515625" bestFit="1" customWidth="1"/>
  </cols>
  <sheetData>
    <row r="2" spans="1:14" ht="23.25" customHeight="1">
      <c r="B2" s="38" t="s">
        <v>10</v>
      </c>
      <c r="C2" s="38"/>
      <c r="D2" s="38"/>
      <c r="E2" s="38"/>
      <c r="F2" s="38"/>
      <c r="G2" s="38"/>
      <c r="H2" s="38"/>
      <c r="I2" s="38"/>
      <c r="J2" s="38"/>
      <c r="K2" s="38"/>
      <c r="L2" s="38"/>
      <c r="M2" s="1"/>
      <c r="N2" s="1"/>
    </row>
    <row r="3" spans="1:14">
      <c r="B3" s="2"/>
      <c r="C3" s="2"/>
      <c r="D3" s="2"/>
      <c r="E3" s="2"/>
      <c r="F3" s="2"/>
      <c r="G3" s="2"/>
      <c r="H3" s="2"/>
      <c r="I3" s="2"/>
      <c r="J3" s="2"/>
      <c r="K3" s="2"/>
      <c r="L3" s="2"/>
    </row>
    <row r="4" spans="1:14">
      <c r="B4" s="2"/>
      <c r="C4" s="2"/>
      <c r="D4" s="2"/>
      <c r="E4" s="2"/>
      <c r="F4" s="2"/>
      <c r="G4" s="2"/>
      <c r="H4" s="2"/>
      <c r="I4" s="2"/>
      <c r="J4" s="2"/>
      <c r="K4" s="2"/>
      <c r="L4" s="2"/>
    </row>
    <row r="5" spans="1:14">
      <c r="B5" s="2"/>
      <c r="C5" s="2"/>
      <c r="D5" s="2"/>
      <c r="E5" s="2"/>
      <c r="F5" s="2"/>
      <c r="G5" s="2"/>
      <c r="H5" s="2"/>
      <c r="I5" s="2"/>
      <c r="J5" s="2"/>
      <c r="K5" s="2"/>
      <c r="L5" s="2"/>
    </row>
    <row r="6" spans="1:14" ht="15.75" thickBot="1">
      <c r="B6" s="2"/>
      <c r="C6" s="2"/>
      <c r="D6" s="2"/>
      <c r="E6" s="2"/>
      <c r="F6" s="2"/>
      <c r="G6" s="2"/>
      <c r="H6" s="2"/>
      <c r="I6" s="2"/>
      <c r="J6" s="2"/>
      <c r="K6" s="2"/>
      <c r="L6" s="2"/>
    </row>
    <row r="7" spans="1:14" ht="15.75" thickBot="1">
      <c r="B7" s="2"/>
      <c r="C7" s="21" t="s">
        <v>11</v>
      </c>
      <c r="D7" s="22">
        <v>1000</v>
      </c>
      <c r="E7" s="2"/>
      <c r="F7" s="2"/>
      <c r="G7" s="2"/>
      <c r="H7" s="2"/>
      <c r="I7" s="2"/>
      <c r="J7" s="2"/>
      <c r="K7" s="2"/>
      <c r="L7" s="2"/>
    </row>
    <row r="8" spans="1:14" ht="19.5" customHeight="1">
      <c r="B8" s="5" t="s">
        <v>0</v>
      </c>
      <c r="C8" s="15" t="s">
        <v>9</v>
      </c>
      <c r="D8" s="6" t="s">
        <v>1</v>
      </c>
      <c r="E8" s="6" t="s">
        <v>14</v>
      </c>
      <c r="F8" s="6" t="s">
        <v>12</v>
      </c>
      <c r="G8" s="6" t="s">
        <v>13</v>
      </c>
      <c r="H8" s="6" t="s">
        <v>2</v>
      </c>
      <c r="I8" s="6" t="s">
        <v>3</v>
      </c>
      <c r="J8" s="6" t="s">
        <v>4</v>
      </c>
      <c r="K8" s="6" t="s">
        <v>6</v>
      </c>
      <c r="L8" s="7" t="s">
        <v>5</v>
      </c>
    </row>
    <row r="9" spans="1:14">
      <c r="A9" s="4"/>
      <c r="B9" s="10">
        <v>1</v>
      </c>
      <c r="C9" s="16" t="s">
        <v>71</v>
      </c>
      <c r="D9" s="8">
        <v>1</v>
      </c>
      <c r="E9" s="9">
        <v>0.62409999999999999</v>
      </c>
      <c r="F9" s="8">
        <f>D9*E9</f>
        <v>0.62409999999999999</v>
      </c>
      <c r="G9" s="35">
        <v>8188</v>
      </c>
      <c r="H9" s="9" t="s">
        <v>55</v>
      </c>
      <c r="I9" s="9" t="s">
        <v>54</v>
      </c>
      <c r="J9" s="8" t="s">
        <v>24</v>
      </c>
      <c r="K9" s="9"/>
      <c r="L9" s="13" t="s">
        <v>53</v>
      </c>
    </row>
    <row r="10" spans="1:14">
      <c r="A10" s="4"/>
      <c r="B10" s="10">
        <v>2</v>
      </c>
      <c r="C10" s="16" t="s">
        <v>7</v>
      </c>
      <c r="D10" s="8">
        <v>1</v>
      </c>
      <c r="E10" s="9">
        <v>0.77456000000000003</v>
      </c>
      <c r="F10" s="8">
        <f>D10*E10</f>
        <v>0.77456000000000003</v>
      </c>
      <c r="G10" s="35">
        <v>1833</v>
      </c>
      <c r="H10" s="9" t="s">
        <v>26</v>
      </c>
      <c r="I10" s="9" t="s">
        <v>25</v>
      </c>
      <c r="J10" s="8" t="s">
        <v>24</v>
      </c>
      <c r="K10" s="9"/>
      <c r="L10" s="13" t="s">
        <v>23</v>
      </c>
    </row>
    <row r="11" spans="1:14">
      <c r="A11" s="4"/>
      <c r="B11" s="10">
        <v>3</v>
      </c>
      <c r="C11" s="16" t="s">
        <v>64</v>
      </c>
      <c r="D11" s="8">
        <v>1</v>
      </c>
      <c r="E11" s="9">
        <v>3.5087999999999999</v>
      </c>
      <c r="F11" s="8">
        <f>D11*E11</f>
        <v>3.5087999999999999</v>
      </c>
      <c r="G11" s="35">
        <v>1026</v>
      </c>
      <c r="H11" s="9" t="s">
        <v>29</v>
      </c>
      <c r="I11" s="23" t="s">
        <v>28</v>
      </c>
      <c r="J11" s="9" t="s">
        <v>21</v>
      </c>
      <c r="K11" s="9" t="s">
        <v>30</v>
      </c>
      <c r="L11" s="13" t="s">
        <v>27</v>
      </c>
    </row>
    <row r="12" spans="1:14">
      <c r="A12" s="4"/>
      <c r="B12" s="10">
        <v>4</v>
      </c>
      <c r="C12" s="16" t="s">
        <v>8</v>
      </c>
      <c r="D12" s="8">
        <v>1</v>
      </c>
      <c r="E12" s="9">
        <v>0.71719999999999995</v>
      </c>
      <c r="F12" s="8">
        <f>D12*E12</f>
        <v>0.71719999999999995</v>
      </c>
      <c r="G12" s="35">
        <v>3051</v>
      </c>
      <c r="H12" s="9" t="s">
        <v>137</v>
      </c>
      <c r="I12" s="9" t="s">
        <v>144</v>
      </c>
      <c r="J12" s="8" t="s">
        <v>136</v>
      </c>
      <c r="K12" s="9" t="s">
        <v>138</v>
      </c>
      <c r="L12" s="13" t="s">
        <v>142</v>
      </c>
    </row>
    <row r="13" spans="1:14">
      <c r="A13" s="4"/>
      <c r="B13" s="10">
        <v>5</v>
      </c>
      <c r="C13" s="18" t="s">
        <v>65</v>
      </c>
      <c r="D13" s="19">
        <v>1</v>
      </c>
      <c r="E13" s="20">
        <v>0.16625000000000001</v>
      </c>
      <c r="F13" s="8">
        <f>D13*E13</f>
        <v>0.16625000000000001</v>
      </c>
      <c r="G13" s="36">
        <v>14561</v>
      </c>
      <c r="H13" s="20" t="s">
        <v>145</v>
      </c>
      <c r="I13" s="20" t="s">
        <v>33</v>
      </c>
      <c r="J13" s="19" t="s">
        <v>32</v>
      </c>
      <c r="K13" s="20" t="s">
        <v>34</v>
      </c>
      <c r="L13" s="13" t="s">
        <v>31</v>
      </c>
    </row>
    <row r="14" spans="1:14">
      <c r="A14" s="4"/>
      <c r="B14" s="10">
        <v>6</v>
      </c>
      <c r="C14" s="18" t="s">
        <v>66</v>
      </c>
      <c r="D14" s="19">
        <v>1</v>
      </c>
      <c r="E14" s="20">
        <v>0.43864999999999998</v>
      </c>
      <c r="F14" s="8">
        <f>D14*E14</f>
        <v>0.43864999999999998</v>
      </c>
      <c r="G14" s="36">
        <v>56384</v>
      </c>
      <c r="H14" s="20" t="s">
        <v>38</v>
      </c>
      <c r="I14" s="20" t="s">
        <v>37</v>
      </c>
      <c r="J14" s="19" t="s">
        <v>36</v>
      </c>
      <c r="K14" s="20" t="s">
        <v>39</v>
      </c>
      <c r="L14" s="13" t="s">
        <v>35</v>
      </c>
    </row>
    <row r="15" spans="1:14">
      <c r="A15" s="4"/>
      <c r="B15" s="10">
        <v>7</v>
      </c>
      <c r="C15" s="18" t="s">
        <v>116</v>
      </c>
      <c r="D15" s="19">
        <v>1</v>
      </c>
      <c r="E15" s="20">
        <v>0.25988</v>
      </c>
      <c r="F15" s="8">
        <f>D15*E15</f>
        <v>0.25988</v>
      </c>
      <c r="G15" s="36">
        <v>17037</v>
      </c>
      <c r="H15" s="20" t="s">
        <v>124</v>
      </c>
      <c r="I15" s="20" t="s">
        <v>123</v>
      </c>
      <c r="J15" s="19" t="s">
        <v>24</v>
      </c>
      <c r="K15" s="20"/>
      <c r="L15" s="13" t="s">
        <v>122</v>
      </c>
    </row>
    <row r="16" spans="1:14">
      <c r="A16" s="4"/>
      <c r="B16" s="10">
        <v>8</v>
      </c>
      <c r="C16" s="18" t="s">
        <v>118</v>
      </c>
      <c r="D16" s="19">
        <v>1</v>
      </c>
      <c r="E16" s="20">
        <v>0.11165</v>
      </c>
      <c r="F16" s="8">
        <f>D16*E16</f>
        <v>0.11165</v>
      </c>
      <c r="G16" s="36">
        <v>120974</v>
      </c>
      <c r="H16" s="20" t="s">
        <v>121</v>
      </c>
      <c r="I16" s="20" t="s">
        <v>120</v>
      </c>
      <c r="J16" s="19" t="s">
        <v>119</v>
      </c>
      <c r="K16" s="20"/>
      <c r="L16" s="13" t="s">
        <v>117</v>
      </c>
    </row>
    <row r="17" spans="1:12">
      <c r="A17" s="4"/>
      <c r="B17" s="10">
        <v>9</v>
      </c>
      <c r="C17" s="18" t="s">
        <v>67</v>
      </c>
      <c r="D17" s="19">
        <v>1</v>
      </c>
      <c r="E17" s="20">
        <v>7.0699999999999999E-2</v>
      </c>
      <c r="F17" s="8">
        <f>D17*E17</f>
        <v>7.0699999999999999E-2</v>
      </c>
      <c r="G17" s="36">
        <v>41383</v>
      </c>
      <c r="H17" s="20" t="s">
        <v>147</v>
      </c>
      <c r="I17" s="20" t="s">
        <v>146</v>
      </c>
      <c r="J17" s="19" t="s">
        <v>43</v>
      </c>
      <c r="K17" s="20">
        <v>603</v>
      </c>
      <c r="L17" s="13" t="s">
        <v>143</v>
      </c>
    </row>
    <row r="18" spans="1:12">
      <c r="A18" s="4"/>
      <c r="B18" s="10">
        <v>10</v>
      </c>
      <c r="C18" s="18" t="s">
        <v>68</v>
      </c>
      <c r="D18" s="19">
        <v>1</v>
      </c>
      <c r="E18" s="20">
        <v>7.9759999999999998E-2</v>
      </c>
      <c r="F18" s="8">
        <f>D18*E18</f>
        <v>7.9759999999999998E-2</v>
      </c>
      <c r="G18" s="36">
        <v>10662</v>
      </c>
      <c r="H18" s="20" t="s">
        <v>45</v>
      </c>
      <c r="I18" s="20" t="s">
        <v>44</v>
      </c>
      <c r="J18" s="19" t="s">
        <v>43</v>
      </c>
      <c r="K18" s="20">
        <v>603</v>
      </c>
      <c r="L18" s="37" t="s">
        <v>40</v>
      </c>
    </row>
    <row r="19" spans="1:12">
      <c r="A19" s="4"/>
      <c r="B19" s="10">
        <v>11</v>
      </c>
      <c r="C19" s="18" t="s">
        <v>69</v>
      </c>
      <c r="D19" s="19">
        <v>1</v>
      </c>
      <c r="E19" s="20">
        <v>2.7810000000000001E-2</v>
      </c>
      <c r="F19" s="8">
        <f>D19*E19</f>
        <v>2.7810000000000001E-2</v>
      </c>
      <c r="G19" s="36">
        <v>122512</v>
      </c>
      <c r="H19" s="20" t="s">
        <v>48</v>
      </c>
      <c r="I19" s="20" t="s">
        <v>47</v>
      </c>
      <c r="J19" s="19" t="s">
        <v>46</v>
      </c>
      <c r="K19" s="20" t="s">
        <v>49</v>
      </c>
      <c r="L19" s="13" t="s">
        <v>41</v>
      </c>
    </row>
    <row r="20" spans="1:12">
      <c r="A20" s="4"/>
      <c r="B20" s="10">
        <v>12</v>
      </c>
      <c r="C20" s="18" t="s">
        <v>70</v>
      </c>
      <c r="D20" s="19">
        <v>2</v>
      </c>
      <c r="E20" s="20">
        <v>0.10125000000000001</v>
      </c>
      <c r="F20" s="8">
        <f>D20*E20</f>
        <v>0.20250000000000001</v>
      </c>
      <c r="G20" s="36">
        <v>62252</v>
      </c>
      <c r="H20" s="20" t="s">
        <v>52</v>
      </c>
      <c r="I20" s="20" t="s">
        <v>51</v>
      </c>
      <c r="J20" s="19" t="s">
        <v>50</v>
      </c>
      <c r="K20" s="20" t="s">
        <v>22</v>
      </c>
      <c r="L20" s="13" t="s">
        <v>42</v>
      </c>
    </row>
    <row r="21" spans="1:12">
      <c r="A21" s="4"/>
      <c r="B21" s="10">
        <v>13</v>
      </c>
      <c r="C21" s="18" t="s">
        <v>134</v>
      </c>
      <c r="D21" s="19">
        <v>2</v>
      </c>
      <c r="E21" s="20">
        <v>3.0099999999999998E-2</v>
      </c>
      <c r="F21" s="8">
        <f>D21*E21</f>
        <v>6.0199999999999997E-2</v>
      </c>
      <c r="G21" s="36">
        <v>9730</v>
      </c>
      <c r="H21" s="20" t="s">
        <v>112</v>
      </c>
      <c r="I21" s="20" t="s">
        <v>111</v>
      </c>
      <c r="J21" s="19" t="s">
        <v>72</v>
      </c>
      <c r="K21" s="20" t="s">
        <v>79</v>
      </c>
      <c r="L21" s="13" t="s">
        <v>98</v>
      </c>
    </row>
    <row r="22" spans="1:12" ht="22.5">
      <c r="A22" s="4"/>
      <c r="B22" s="10">
        <v>14</v>
      </c>
      <c r="C22" s="18" t="s">
        <v>110</v>
      </c>
      <c r="D22" s="19">
        <v>1</v>
      </c>
      <c r="E22" s="20">
        <v>0.42443999999999998</v>
      </c>
      <c r="F22" s="8">
        <f>D22*E22</f>
        <v>0.42443999999999998</v>
      </c>
      <c r="G22" s="36">
        <v>17373</v>
      </c>
      <c r="H22" s="20" t="s">
        <v>141</v>
      </c>
      <c r="I22" s="20" t="s">
        <v>140</v>
      </c>
      <c r="J22" s="19" t="s">
        <v>139</v>
      </c>
      <c r="K22" s="20" t="s">
        <v>113</v>
      </c>
      <c r="L22" s="13" t="s">
        <v>135</v>
      </c>
    </row>
    <row r="23" spans="1:12">
      <c r="A23" s="4"/>
      <c r="B23" s="10">
        <v>15</v>
      </c>
      <c r="C23" s="18" t="s">
        <v>58</v>
      </c>
      <c r="D23" s="19">
        <v>2</v>
      </c>
      <c r="E23" s="20">
        <v>5.8749999999999997E-2</v>
      </c>
      <c r="F23" s="8">
        <f>D23*E23</f>
        <v>0.11749999999999999</v>
      </c>
      <c r="G23" s="36">
        <v>286047</v>
      </c>
      <c r="H23" s="20" t="s">
        <v>74</v>
      </c>
      <c r="I23" s="20" t="s">
        <v>73</v>
      </c>
      <c r="J23" s="19" t="s">
        <v>72</v>
      </c>
      <c r="K23" s="20" t="s">
        <v>75</v>
      </c>
      <c r="L23" s="13" t="s">
        <v>56</v>
      </c>
    </row>
    <row r="24" spans="1:12">
      <c r="A24" s="4"/>
      <c r="B24" s="10">
        <v>16</v>
      </c>
      <c r="C24" s="18" t="s">
        <v>132</v>
      </c>
      <c r="D24" s="19">
        <v>4</v>
      </c>
      <c r="E24" s="20">
        <v>6.3450000000000006E-2</v>
      </c>
      <c r="F24" s="8">
        <f>D24*E24</f>
        <v>0.25380000000000003</v>
      </c>
      <c r="G24" s="36">
        <v>855445</v>
      </c>
      <c r="H24" s="20" t="s">
        <v>78</v>
      </c>
      <c r="I24" s="20" t="s">
        <v>77</v>
      </c>
      <c r="J24" s="19" t="s">
        <v>76</v>
      </c>
      <c r="K24" s="20" t="s">
        <v>79</v>
      </c>
      <c r="L24" s="13" t="s">
        <v>57</v>
      </c>
    </row>
    <row r="25" spans="1:12">
      <c r="A25" s="4"/>
      <c r="B25" s="10">
        <v>17</v>
      </c>
      <c r="C25" s="18" t="s">
        <v>62</v>
      </c>
      <c r="D25" s="19">
        <v>1</v>
      </c>
      <c r="E25" s="20">
        <v>5.8749999999999997E-2</v>
      </c>
      <c r="F25" s="8">
        <f>D25*E25</f>
        <v>5.8749999999999997E-2</v>
      </c>
      <c r="G25" s="36">
        <v>131269</v>
      </c>
      <c r="H25" s="20" t="s">
        <v>81</v>
      </c>
      <c r="I25" s="20" t="s">
        <v>80</v>
      </c>
      <c r="J25" s="19" t="s">
        <v>76</v>
      </c>
      <c r="K25" s="20" t="s">
        <v>75</v>
      </c>
      <c r="L25" s="13" t="s">
        <v>61</v>
      </c>
    </row>
    <row r="26" spans="1:12">
      <c r="A26" s="4"/>
      <c r="B26" s="10">
        <v>18</v>
      </c>
      <c r="C26" s="18" t="s">
        <v>60</v>
      </c>
      <c r="D26" s="19">
        <v>3</v>
      </c>
      <c r="E26" s="20">
        <v>1.4999999999999999E-2</v>
      </c>
      <c r="F26" s="8">
        <f>D26*E26</f>
        <v>4.4999999999999998E-2</v>
      </c>
      <c r="G26" s="36">
        <v>478728</v>
      </c>
      <c r="H26" s="20" t="s">
        <v>85</v>
      </c>
      <c r="I26" s="20" t="s">
        <v>84</v>
      </c>
      <c r="J26" s="19" t="s">
        <v>76</v>
      </c>
      <c r="K26" s="20" t="s">
        <v>79</v>
      </c>
      <c r="L26" s="13" t="s">
        <v>59</v>
      </c>
    </row>
    <row r="27" spans="1:12">
      <c r="A27" s="4"/>
      <c r="B27" s="10">
        <v>19</v>
      </c>
      <c r="C27" s="18" t="s">
        <v>87</v>
      </c>
      <c r="D27" s="19">
        <v>2</v>
      </c>
      <c r="E27" s="20">
        <v>1.6500000000000001E-2</v>
      </c>
      <c r="F27" s="8">
        <f>D27*E27</f>
        <v>3.3000000000000002E-2</v>
      </c>
      <c r="G27" s="36">
        <v>298431</v>
      </c>
      <c r="H27" s="20" t="s">
        <v>92</v>
      </c>
      <c r="I27" s="20" t="s">
        <v>91</v>
      </c>
      <c r="J27" s="19" t="s">
        <v>90</v>
      </c>
      <c r="K27" s="20" t="s">
        <v>79</v>
      </c>
      <c r="L27" s="13" t="s">
        <v>86</v>
      </c>
    </row>
    <row r="28" spans="1:12" ht="25.5">
      <c r="A28" s="4"/>
      <c r="B28" s="10">
        <v>20</v>
      </c>
      <c r="C28" s="18" t="s">
        <v>133</v>
      </c>
      <c r="D28" s="19">
        <v>13</v>
      </c>
      <c r="E28" s="20">
        <v>1.0200000000000001E-2</v>
      </c>
      <c r="F28" s="8">
        <f>D28*E28</f>
        <v>0.1326</v>
      </c>
      <c r="G28" s="36">
        <v>4959885</v>
      </c>
      <c r="H28" s="20" t="s">
        <v>83</v>
      </c>
      <c r="I28" s="20" t="s">
        <v>82</v>
      </c>
      <c r="J28" s="19" t="s">
        <v>72</v>
      </c>
      <c r="K28" s="20" t="s">
        <v>79</v>
      </c>
      <c r="L28" s="13" t="s">
        <v>63</v>
      </c>
    </row>
    <row r="29" spans="1:12">
      <c r="A29" s="4"/>
      <c r="B29" s="10">
        <v>21</v>
      </c>
      <c r="C29" s="18" t="s">
        <v>89</v>
      </c>
      <c r="D29" s="19">
        <v>2</v>
      </c>
      <c r="E29" s="20">
        <v>7.4999999999999997E-3</v>
      </c>
      <c r="F29" s="8">
        <f>D29*E29</f>
        <v>1.4999999999999999E-2</v>
      </c>
      <c r="G29" s="36">
        <v>552849</v>
      </c>
      <c r="H29" s="20" t="s">
        <v>94</v>
      </c>
      <c r="I29" s="20" t="s">
        <v>93</v>
      </c>
      <c r="J29" s="19" t="s">
        <v>90</v>
      </c>
      <c r="K29" s="20" t="s">
        <v>79</v>
      </c>
      <c r="L29" s="13" t="s">
        <v>88</v>
      </c>
    </row>
    <row r="30" spans="1:12">
      <c r="A30" s="4"/>
      <c r="B30" s="10">
        <v>22</v>
      </c>
      <c r="C30" s="18" t="s">
        <v>97</v>
      </c>
      <c r="D30" s="19">
        <v>1</v>
      </c>
      <c r="E30" s="20">
        <v>4.1599999999999996E-3</v>
      </c>
      <c r="F30" s="8">
        <f>D30*E30</f>
        <v>4.1599999999999996E-3</v>
      </c>
      <c r="G30" s="36">
        <v>44056</v>
      </c>
      <c r="H30" s="20" t="s">
        <v>105</v>
      </c>
      <c r="I30" s="20" t="s">
        <v>104</v>
      </c>
      <c r="J30" s="19" t="s">
        <v>103</v>
      </c>
      <c r="K30" s="20">
        <v>603</v>
      </c>
      <c r="L30" s="13" t="s">
        <v>96</v>
      </c>
    </row>
    <row r="31" spans="1:12">
      <c r="A31" s="4"/>
      <c r="B31" s="10">
        <v>23</v>
      </c>
      <c r="C31" s="18" t="s">
        <v>125</v>
      </c>
      <c r="D31" s="19">
        <v>4</v>
      </c>
      <c r="E31" s="20">
        <v>3.5100000000000001E-3</v>
      </c>
      <c r="F31" s="8">
        <f>D31*E31</f>
        <v>1.404E-2</v>
      </c>
      <c r="G31" s="36">
        <v>8483280</v>
      </c>
      <c r="H31" s="20" t="s">
        <v>107</v>
      </c>
      <c r="I31" s="20" t="s">
        <v>106</v>
      </c>
      <c r="J31" s="19" t="s">
        <v>103</v>
      </c>
      <c r="K31" s="20">
        <v>603</v>
      </c>
      <c r="L31" s="13" t="s">
        <v>99</v>
      </c>
    </row>
    <row r="32" spans="1:12">
      <c r="A32" s="4"/>
      <c r="B32" s="10">
        <v>24</v>
      </c>
      <c r="C32" s="18" t="s">
        <v>101</v>
      </c>
      <c r="D32" s="19">
        <v>1</v>
      </c>
      <c r="E32" s="20">
        <v>1.0240000000000001E-2</v>
      </c>
      <c r="F32" s="8">
        <f>D32*E32</f>
        <v>1.0240000000000001E-2</v>
      </c>
      <c r="G32" s="36">
        <v>377939</v>
      </c>
      <c r="H32" s="20" t="s">
        <v>109</v>
      </c>
      <c r="I32" s="20" t="s">
        <v>108</v>
      </c>
      <c r="J32" s="19" t="s">
        <v>103</v>
      </c>
      <c r="K32" s="20">
        <v>1206</v>
      </c>
      <c r="L32" s="13" t="s">
        <v>95</v>
      </c>
    </row>
    <row r="33" spans="1:12">
      <c r="A33" s="4"/>
      <c r="B33" s="10">
        <v>25</v>
      </c>
      <c r="C33" s="18" t="s">
        <v>102</v>
      </c>
      <c r="D33" s="19">
        <v>2</v>
      </c>
      <c r="E33" s="20">
        <v>4.1599999999999996E-3</v>
      </c>
      <c r="F33" s="8">
        <f>D33*E33</f>
        <v>8.3199999999999993E-3</v>
      </c>
      <c r="G33" s="36">
        <v>373147</v>
      </c>
      <c r="H33" s="20" t="s">
        <v>115</v>
      </c>
      <c r="I33" s="20" t="s">
        <v>114</v>
      </c>
      <c r="J33" s="19" t="s">
        <v>103</v>
      </c>
      <c r="K33" s="20">
        <v>603</v>
      </c>
      <c r="L33" s="13" t="s">
        <v>100</v>
      </c>
    </row>
    <row r="34" spans="1:12">
      <c r="A34" s="4"/>
      <c r="B34" s="10">
        <v>26</v>
      </c>
      <c r="C34" s="18" t="s">
        <v>127</v>
      </c>
      <c r="D34" s="19">
        <v>1</v>
      </c>
      <c r="E34" s="20">
        <v>7.8210000000000002E-2</v>
      </c>
      <c r="F34" s="8">
        <f>D34*E34</f>
        <v>7.8210000000000002E-2</v>
      </c>
      <c r="G34" s="36">
        <v>224343</v>
      </c>
      <c r="H34" s="20" t="s">
        <v>130</v>
      </c>
      <c r="I34" s="20" t="s">
        <v>129</v>
      </c>
      <c r="J34" s="19" t="s">
        <v>128</v>
      </c>
      <c r="K34" s="20" t="s">
        <v>131</v>
      </c>
      <c r="L34" s="13" t="s">
        <v>126</v>
      </c>
    </row>
    <row r="35" spans="1:12">
      <c r="A35" s="4"/>
      <c r="B35" s="10"/>
      <c r="C35" s="18"/>
      <c r="D35" s="19"/>
      <c r="E35" s="20"/>
      <c r="F35" s="8"/>
      <c r="G35" s="36"/>
      <c r="H35" s="20"/>
      <c r="I35" s="20"/>
      <c r="J35" s="19"/>
      <c r="K35" s="20"/>
      <c r="L35" s="13"/>
    </row>
    <row r="36" spans="1:12" ht="15.75" thickBot="1">
      <c r="A36" s="4"/>
      <c r="B36" s="17"/>
      <c r="C36" s="18" t="s">
        <v>20</v>
      </c>
      <c r="D36" s="24">
        <f>SUM(D9:D35)</f>
        <v>52</v>
      </c>
      <c r="E36" s="24"/>
      <c r="F36" s="31">
        <f>SUM(F9:F35)</f>
        <v>8.2371199999999991</v>
      </c>
      <c r="G36" s="12"/>
      <c r="H36" s="11"/>
      <c r="I36" s="11"/>
      <c r="J36" s="11"/>
      <c r="K36" s="11"/>
      <c r="L36" s="14"/>
    </row>
    <row r="37" spans="1:12">
      <c r="A37" s="3"/>
      <c r="B37" s="3"/>
      <c r="C37" s="25" t="s">
        <v>15</v>
      </c>
      <c r="D37" s="28"/>
      <c r="E37" s="28"/>
      <c r="F37" s="32">
        <v>10.402119999999996</v>
      </c>
      <c r="G37" s="3"/>
      <c r="H37" s="3"/>
      <c r="I37" s="3"/>
      <c r="J37" s="3"/>
    </row>
    <row r="38" spans="1:12">
      <c r="A38" s="3"/>
      <c r="B38" s="3"/>
      <c r="C38" s="26" t="s">
        <v>19</v>
      </c>
      <c r="D38" s="29"/>
      <c r="E38" s="29"/>
      <c r="F38" s="33">
        <v>8.2371199999999991</v>
      </c>
      <c r="G38" s="3"/>
      <c r="H38" s="3"/>
      <c r="I38" s="3"/>
      <c r="J38" s="3"/>
    </row>
    <row r="39" spans="1:12">
      <c r="C39" s="26" t="s">
        <v>18</v>
      </c>
      <c r="D39" s="29"/>
      <c r="E39" s="29"/>
      <c r="F39" s="33">
        <v>8.1625499999999995</v>
      </c>
      <c r="I39" s="3"/>
    </row>
    <row r="40" spans="1:12" ht="15.75" thickBot="1">
      <c r="B40" t="s">
        <v>16</v>
      </c>
      <c r="C40" s="27" t="s">
        <v>17</v>
      </c>
      <c r="D40" s="30"/>
      <c r="E40" s="30"/>
      <c r="F40" s="34">
        <v>8.1625499999999995</v>
      </c>
      <c r="I40" s="3"/>
    </row>
    <row r="41" spans="1:12">
      <c r="I41" s="3"/>
    </row>
    <row r="42" spans="1:12">
      <c r="I42" s="3"/>
    </row>
  </sheetData>
  <mergeCells count="1">
    <mergeCell ref="B2:L2"/>
  </mergeCells>
  <hyperlinks>
    <hyperlink ref="L11" r:id="rId1"/>
    <hyperlink ref="L12" r:id="rId2"/>
    <hyperlink ref="L13" r:id="rId3"/>
    <hyperlink ref="L14" r:id="rId4"/>
    <hyperlink ref="L17" r:id="rId5"/>
    <hyperlink ref="L18" r:id="rId6"/>
    <hyperlink ref="L19" r:id="rId7"/>
    <hyperlink ref="L20" r:id="rId8"/>
    <hyperlink ref="L23" r:id="rId9"/>
    <hyperlink ref="L24" r:id="rId10"/>
    <hyperlink ref="L26" r:id="rId11"/>
    <hyperlink ref="L25" r:id="rId12"/>
    <hyperlink ref="L28" r:id="rId13"/>
    <hyperlink ref="L27" r:id="rId14"/>
    <hyperlink ref="L29" r:id="rId15"/>
    <hyperlink ref="L32" r:id="rId16"/>
    <hyperlink ref="L30" r:id="rId17"/>
    <hyperlink ref="L21" r:id="rId18"/>
    <hyperlink ref="L31" r:id="rId19"/>
    <hyperlink ref="L33" r:id="rId20"/>
    <hyperlink ref="L22" r:id="rId21"/>
    <hyperlink ref="L15" r:id="rId22"/>
    <hyperlink ref="L16" r:id="rId23"/>
    <hyperlink ref="L34" r:id="rId24"/>
    <hyperlink ref="L9" r:id="rId25"/>
    <hyperlink ref="L10" r:id="rId26"/>
  </hyperlinks>
  <pageMargins left="0.7" right="0.7" top="0.75" bottom="0.75" header="0.3" footer="0.3"/>
  <pageSetup paperSize="9" scale="49" orientation="landscape" r:id="rId27"/>
  <legacyDrawing r:id="rId28"/>
</worksheet>
</file>

<file path=xl/worksheets/sheet2.xml><?xml version="1.0" encoding="utf-8"?>
<worksheet xmlns="http://schemas.openxmlformats.org/spreadsheetml/2006/main" xmlns:r="http://schemas.openxmlformats.org/officeDocument/2006/relationships">
  <sheetPr codeName="Feuil2"/>
  <dimension ref="A1"/>
  <sheetViews>
    <sheetView workbookViewId="0"/>
  </sheetViews>
  <sheetFormatPr baseColWidth="10" defaultRowHeight="1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>
  <sheetPr codeName="Feuil3"/>
  <dimension ref="A1"/>
  <sheetViews>
    <sheetView workbookViewId="0"/>
  </sheetViews>
  <sheetFormatPr baseColWidth="10" defaultRowHeight="1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3</vt:i4>
      </vt:variant>
    </vt:vector>
  </HeadingPairs>
  <TitlesOfParts>
    <vt:vector size="3" baseType="lpstr">
      <vt:lpstr>BoM</vt:lpstr>
      <vt:lpstr>Feuil2</vt:lpstr>
      <vt:lpstr>Feuil3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limpkin</dc:creator>
  <cp:lastModifiedBy>Mathieu</cp:lastModifiedBy>
  <cp:lastPrinted>2012-07-30T12:19:09Z</cp:lastPrinted>
  <dcterms:created xsi:type="dcterms:W3CDTF">2008-02-20T11:26:06Z</dcterms:created>
  <dcterms:modified xsi:type="dcterms:W3CDTF">2014-01-04T01:16:59Z</dcterms:modified>
</cp:coreProperties>
</file>