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4" i="1"/>
  <c r="F15"/>
  <c r="F16"/>
  <c r="D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3"/>
  <c r="F12"/>
  <c r="F11"/>
  <c r="F10"/>
  <c r="F9"/>
  <c r="F8"/>
  <c r="F7"/>
  <c r="F37" l="1"/>
</calcChain>
</file>

<file path=xl/sharedStrings.xml><?xml version="1.0" encoding="utf-8"?>
<sst xmlns="http://schemas.openxmlformats.org/spreadsheetml/2006/main" count="169" uniqueCount="149">
  <si>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</si>
  <si>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</si>
  <si>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</si>
  <si>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</si>
  <si>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</si>
  <si>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</si>
  <si>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</si>
  <si>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</si>
  <si>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</si>
  <si>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</si>
  <si>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</si>
  <si>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</si>
  <si>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</si>
  <si>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</si>
  <si>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</si>
  <si>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</si>
  <si>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</si>
  <si>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</si>
  <si>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</si>
  <si>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</si>
  <si>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</si>
  <si>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</si>
  <si>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</si>
  <si>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</si>
  <si>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</si>
  <si>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</si>
  <si>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</si>
  <si>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</si>
  <si>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</si>
  <si>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</si>
  <si>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</si>
  <si>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</si>
  <si>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</si>
  <si>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</si>
  <si>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</si>
  <si>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</si>
  <si>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</si>
  <si>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</si>
  <si>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</si>
  <si>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</si>
  <si>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</si>
  <si>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</si>
  <si>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</si>
  <si>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</si>
  <si>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</si>
  <si>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http://www.digikey.com/product-detail/en/SFV30R-2STE1HLF/609-4327-1-ND/2626778</t>
  </si>
  <si>
    <t>SFV30R-2STE1HLF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</si>
  <si>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</si>
  <si>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</si>
  <si>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</si>
  <si>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</si>
  <si>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</si>
  <si>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</si>
  <si>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</si>
  <si>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</si>
  <si>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</si>
  <si>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</si>
  <si>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</si>
  <si>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</si>
  <si>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</si>
  <si>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</si>
  <si>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</si>
  <si>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</si>
  <si>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</si>
  <si>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</si>
  <si>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</si>
  <si>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</si>
  <si>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</si>
  <si>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</si>
  <si>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</si>
  <si>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</si>
  <si>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</si>
  <si>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</si>
  <si>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</si>
  <si>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</si>
  <si>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</si>
  <si>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</si>
  <si>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</si>
  <si>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</si>
  <si>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</si>
  <si>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</si>
  <si>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</si>
  <si>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</si>
  <si>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</si>
  <si>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FB1 FB2</t>
  </si>
  <si>
    <t>Adesto Technologies</t>
  </si>
  <si>
    <t>IC FLASH 1MBIT 66MHZ 8SOIC</t>
  </si>
  <si>
    <t>8-SOIC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</si>
  <si>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</si>
  <si>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</si>
  <si>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</si>
  <si>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</si>
  <si>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</si>
  <si>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</si>
  <si>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</si>
  <si>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</si>
  <si>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</si>
  <si>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</si>
  <si>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</si>
  <si>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</si>
  <si>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</si>
  <si>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</si>
  <si>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</si>
  <si>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</si>
  <si>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</si>
  <si>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</si>
  <si>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</si>
  <si>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</si>
  <si>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</si>
  <si>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</si>
  <si>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</si>
  <si>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</si>
  <si>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</si>
  <si>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</si>
  <si>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</si>
  <si>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</si>
  <si>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</si>
  <si>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</si>
  <si>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</si>
  <si>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</si>
  <si>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</si>
  <si>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</si>
  <si>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</si>
  <si>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</si>
  <si>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</si>
  <si>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</si>
  <si>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</si>
  <si>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</si>
  <si>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</si>
  <si>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</si>
  <si>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</si>
  <si>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</si>
  <si>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</si>
  <si>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</si>
  <si>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</si>
  <si>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</si>
  <si>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</si>
  <si>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</si>
  <si>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</si>
  <si>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</si>
  <si>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</si>
  <si>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</si>
  <si>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</si>
  <si>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</si>
  <si>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</si>
  <si>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</si>
  <si>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</si>
  <si>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</si>
  <si>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SOD????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</si>
</sst>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3" borderId="14" xfId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DF9-9S-1V(32)/H10397CT-ND/1015386" TargetMode="External"/><Relationship Id="rId18" Type="http://schemas.openxmlformats.org/officeDocument/2006/relationships/hyperlink" Target="http://www.kdiode.com/admin/diotech_file/SOD4001~SOD4007.pdf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7312P0225A13LF/609-4481-ND/1527047" TargetMode="External"/><Relationship Id="rId17" Type="http://schemas.openxmlformats.org/officeDocument/2006/relationships/hyperlink" Target="http://smart-prototyping.com/Passive-Crystals-SMT-16-00MHz-10ppm-9pF-3225-C13738.html?filter_name=16.00MHz%20%C2%B110ppm" TargetMode="External"/><Relationship Id="rId33" Type="http://schemas.openxmlformats.org/officeDocument/2006/relationships/ctrlProp" Target="../ctrlProps/ctrlProp1.xm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M20-7841042/M20-7841042-ND/3919571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SFV30R-2STE1HLF/609-4327-1-ND/2626778" TargetMode="Externa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M20-7840842/M20-7840842-ND/3919567" TargetMode="External"/><Relationship Id="rId10" Type="http://schemas.openxmlformats.org/officeDocument/2006/relationships/hyperlink" Target="http://www.digikey.com/product-detail/en/10118194-0001LF/609-4618-1-ND/2785382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BLM18KG601SN1D/490-5258-1-ND/1982781" TargetMode="External"/><Relationship Id="rId14" Type="http://schemas.openxmlformats.org/officeDocument/2006/relationships/hyperlink" Target="http://www.digikey.com/product-detail/en/M20-7840642/M20-7840642-ND/391956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3"/>
  <sheetViews>
    <sheetView tabSelected="1" zoomScale="130" zoomScaleNormal="130" workbookViewId="0">
      <selection activeCell="J12" sqref="J12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122.8554687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>
      <c r="A7" s="4"/>
      <c r="B7" s="10">
        <v>1</v>
      </c>
      <c r="C7" s="16" t="s">
        <v>55</v>
      </c>
      <c r="D7" s="8">
        <v>1</v>
      </c>
      <c r="E7" s="9">
        <v>0.24879999999999999</v>
      </c>
      <c r="F7" s="8">
        <f t="shared" ref="F7:F36" si="0">D7*E7</f>
        <v>0.24879999999999999</v>
      </c>
      <c r="G7" s="35">
        <v>6221</v>
      </c>
      <c r="H7" s="9" t="s">
        <v>47</v>
      </c>
      <c r="I7" s="9" t="s">
        <v>46</v>
      </c>
      <c r="J7" s="8" t="s">
        <v>19</v>
      </c>
      <c r="K7" s="9"/>
      <c r="L7" s="13" t="s">
        <v>45</v>
      </c>
    </row>
    <row r="8" spans="1:14">
      <c r="A8" s="4"/>
      <c r="B8" s="10"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101</v>
      </c>
      <c r="I8" s="9" t="s">
        <v>100</v>
      </c>
      <c r="J8" s="8" t="s">
        <v>19</v>
      </c>
      <c r="K8" s="9"/>
      <c r="L8" s="13" t="s">
        <v>99</v>
      </c>
    </row>
    <row r="9" spans="1:14">
      <c r="A9" s="4"/>
      <c r="B9" s="10">
        <v>3</v>
      </c>
      <c r="C9" s="18" t="s">
        <v>50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91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>
      <c r="A10" s="4"/>
      <c r="B10" s="10">
        <v>4</v>
      </c>
      <c r="C10" s="16" t="s">
        <v>49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>
      <c r="A11" s="4"/>
      <c r="B11" s="10">
        <v>5</v>
      </c>
      <c r="C11" s="18" t="s">
        <v>51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>
      <c r="A12" s="4"/>
      <c r="B12" s="10"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86</v>
      </c>
      <c r="I12" s="9" t="s">
        <v>90</v>
      </c>
      <c r="J12" s="8" t="s">
        <v>85</v>
      </c>
      <c r="K12" s="9" t="s">
        <v>87</v>
      </c>
      <c r="L12" s="13" t="s">
        <v>88</v>
      </c>
    </row>
    <row r="13" spans="1:14">
      <c r="A13" s="4"/>
      <c r="B13" s="10">
        <v>7</v>
      </c>
      <c r="C13" s="18" t="s">
        <v>106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105</v>
      </c>
      <c r="I13" s="20" t="s">
        <v>104</v>
      </c>
      <c r="J13" s="19" t="s">
        <v>103</v>
      </c>
      <c r="K13" s="20"/>
      <c r="L13" s="13" t="s">
        <v>102</v>
      </c>
    </row>
    <row r="14" spans="1:14">
      <c r="A14" s="4"/>
      <c r="B14" s="10">
        <v>8</v>
      </c>
      <c r="C14" s="18" t="s">
        <v>112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115</v>
      </c>
      <c r="I14" s="20" t="s">
        <v>114</v>
      </c>
      <c r="J14" s="19" t="s">
        <v>113</v>
      </c>
      <c r="K14" s="20"/>
      <c r="L14" s="13" t="s">
        <v>111</v>
      </c>
    </row>
    <row r="15" spans="1:14">
      <c r="A15" s="4"/>
      <c r="B15" s="10">
        <v>9</v>
      </c>
      <c r="C15" s="18" t="s">
        <v>110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117</v>
      </c>
      <c r="I15" s="20" t="s">
        <v>116</v>
      </c>
      <c r="J15" s="19" t="s">
        <v>113</v>
      </c>
      <c r="K15" s="20"/>
      <c r="L15" s="13" t="s">
        <v>109</v>
      </c>
    </row>
    <row r="16" spans="1:14">
      <c r="A16" s="4"/>
      <c r="B16" s="10">
        <v>10</v>
      </c>
      <c r="C16" s="18" t="s">
        <v>108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119</v>
      </c>
      <c r="I16" s="20" t="s">
        <v>118</v>
      </c>
      <c r="J16" s="19" t="s">
        <v>113</v>
      </c>
      <c r="K16" s="20"/>
      <c r="L16" s="13" t="s">
        <v>107</v>
      </c>
    </row>
    <row r="17" spans="1:12">
      <c r="A17" s="4"/>
      <c r="B17" s="10">
        <v>11</v>
      </c>
      <c r="C17" s="18" t="s">
        <v>77</v>
      </c>
      <c r="D17" s="19">
        <v>1</v>
      </c>
      <c r="E17" s="20">
        <v>7.9600000000000004E-2</v>
      </c>
      <c r="F17" s="8">
        <f t="shared" si="0"/>
        <v>7.9600000000000004E-2</v>
      </c>
      <c r="G17" s="36">
        <v>10920</v>
      </c>
      <c r="H17" s="20" t="s">
        <v>80</v>
      </c>
      <c r="I17" s="20" t="s">
        <v>79</v>
      </c>
      <c r="J17" s="19" t="s">
        <v>19</v>
      </c>
      <c r="K17" s="20"/>
      <c r="L17" s="13" t="s">
        <v>78</v>
      </c>
    </row>
    <row r="18" spans="1:12" ht="33.75">
      <c r="A18" s="4"/>
      <c r="B18" s="10">
        <v>12</v>
      </c>
      <c r="C18" s="18" t="s">
        <v>125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126</v>
      </c>
      <c r="I18" s="20" t="s">
        <v>128</v>
      </c>
      <c r="J18" s="39" t="s">
        <v>129</v>
      </c>
      <c r="K18" s="20" t="s">
        <v>127</v>
      </c>
      <c r="L18" s="13"/>
    </row>
    <row r="19" spans="1:12">
      <c r="A19" s="4"/>
      <c r="B19" s="10">
        <v>13</v>
      </c>
      <c r="C19" s="18" t="s">
        <v>52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93</v>
      </c>
      <c r="I19" s="20" t="s">
        <v>92</v>
      </c>
      <c r="J19" s="19" t="s">
        <v>36</v>
      </c>
      <c r="K19" s="20">
        <v>603</v>
      </c>
      <c r="L19" s="13" t="s">
        <v>89</v>
      </c>
    </row>
    <row r="20" spans="1:12">
      <c r="A20" s="4"/>
      <c r="B20" s="10">
        <v>14</v>
      </c>
      <c r="C20" s="18" t="s">
        <v>53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38</v>
      </c>
      <c r="I20" s="20" t="s">
        <v>37</v>
      </c>
      <c r="J20" s="19" t="s">
        <v>36</v>
      </c>
      <c r="K20" s="20">
        <v>603</v>
      </c>
      <c r="L20" s="37" t="s">
        <v>33</v>
      </c>
    </row>
    <row r="21" spans="1:12">
      <c r="A21" s="4"/>
      <c r="B21" s="10">
        <v>15</v>
      </c>
      <c r="C21" s="18" t="s">
        <v>120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41</v>
      </c>
      <c r="I21" s="20" t="s">
        <v>40</v>
      </c>
      <c r="J21" s="19" t="s">
        <v>39</v>
      </c>
      <c r="K21" s="20" t="s">
        <v>42</v>
      </c>
      <c r="L21" s="13" t="s">
        <v>34</v>
      </c>
    </row>
    <row r="22" spans="1:12">
      <c r="A22" s="4"/>
      <c r="B22" s="10">
        <v>16</v>
      </c>
      <c r="C22" s="18" t="s">
        <v>54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124</v>
      </c>
      <c r="I22" s="20" t="s">
        <v>44</v>
      </c>
      <c r="J22" s="19" t="s">
        <v>43</v>
      </c>
      <c r="K22" s="20" t="s">
        <v>18</v>
      </c>
      <c r="L22" s="13" t="s">
        <v>35</v>
      </c>
    </row>
    <row r="23" spans="1:12">
      <c r="A23" s="4"/>
      <c r="B23" s="10">
        <v>17</v>
      </c>
      <c r="C23" s="18" t="s">
        <v>84</v>
      </c>
      <c r="D23" s="19">
        <v>2</v>
      </c>
      <c r="E23" s="20">
        <v>1.49E-2</v>
      </c>
      <c r="F23" s="8">
        <f t="shared" si="0"/>
        <v>2.98E-2</v>
      </c>
      <c r="G23" s="36">
        <v>89483</v>
      </c>
      <c r="H23" s="20" t="s">
        <v>74</v>
      </c>
      <c r="I23" s="20" t="s">
        <v>73</v>
      </c>
      <c r="J23" s="19" t="s">
        <v>56</v>
      </c>
      <c r="K23" s="20" t="s">
        <v>58</v>
      </c>
      <c r="L23" s="13" t="s">
        <v>66</v>
      </c>
    </row>
    <row r="24" spans="1:12" ht="22.5">
      <c r="A24" s="4"/>
      <c r="B24" s="10">
        <v>18</v>
      </c>
      <c r="C24" s="18" t="s">
        <v>72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131</v>
      </c>
      <c r="I24" s="20" t="s">
        <v>130</v>
      </c>
      <c r="J24" s="39" t="s">
        <v>129</v>
      </c>
      <c r="K24" s="20" t="s">
        <v>75</v>
      </c>
      <c r="L24" s="13" t="s">
        <v>132</v>
      </c>
    </row>
    <row r="25" spans="1:12">
      <c r="A25" s="4"/>
      <c r="B25" s="10">
        <v>19</v>
      </c>
      <c r="C25" s="18" t="s">
        <v>98</v>
      </c>
      <c r="D25" s="19">
        <v>4</v>
      </c>
      <c r="E25" s="20">
        <v>3.4799999999999998E-2</v>
      </c>
      <c r="F25" s="8">
        <f t="shared" si="0"/>
        <v>0.13919999999999999</v>
      </c>
      <c r="G25" s="36">
        <v>140236</v>
      </c>
      <c r="H25" s="20" t="s">
        <v>96</v>
      </c>
      <c r="I25" s="20" t="s">
        <v>134</v>
      </c>
      <c r="J25" s="19" t="s">
        <v>133</v>
      </c>
      <c r="K25" s="20" t="s">
        <v>97</v>
      </c>
      <c r="L25" s="13"/>
    </row>
    <row r="26" spans="1:12">
      <c r="A26" s="4"/>
      <c r="B26" s="10">
        <v>20</v>
      </c>
      <c r="C26" s="18" t="s">
        <v>94</v>
      </c>
      <c r="D26" s="19">
        <v>4</v>
      </c>
      <c r="E26" s="20">
        <v>2.4899999999999999E-2</v>
      </c>
      <c r="F26" s="8">
        <f t="shared" si="0"/>
        <v>9.9599999999999994E-2</v>
      </c>
      <c r="G26" s="36">
        <v>89465</v>
      </c>
      <c r="H26" s="20" t="s">
        <v>57</v>
      </c>
      <c r="I26" s="20" t="s">
        <v>135</v>
      </c>
      <c r="J26" s="19" t="s">
        <v>133</v>
      </c>
      <c r="K26" s="20" t="s">
        <v>58</v>
      </c>
      <c r="L26" s="13"/>
    </row>
    <row r="27" spans="1:12">
      <c r="A27" s="4"/>
      <c r="B27" s="10">
        <v>21</v>
      </c>
      <c r="C27" s="18" t="s">
        <v>48</v>
      </c>
      <c r="D27" s="19">
        <v>3</v>
      </c>
      <c r="E27" s="20">
        <v>6.0000000000000001E-3</v>
      </c>
      <c r="F27" s="8">
        <f t="shared" si="0"/>
        <v>1.8000000000000002E-2</v>
      </c>
      <c r="G27" s="36">
        <v>486858</v>
      </c>
      <c r="H27" s="20" t="s">
        <v>60</v>
      </c>
      <c r="I27" s="20" t="s">
        <v>136</v>
      </c>
      <c r="J27" s="19" t="s">
        <v>133</v>
      </c>
      <c r="K27" s="20" t="s">
        <v>58</v>
      </c>
      <c r="L27" s="13"/>
    </row>
    <row r="28" spans="1:12">
      <c r="A28" s="4"/>
      <c r="B28" s="10">
        <v>22</v>
      </c>
      <c r="C28" s="18" t="s">
        <v>61</v>
      </c>
      <c r="D28" s="19">
        <v>2</v>
      </c>
      <c r="E28" s="20">
        <v>0.01</v>
      </c>
      <c r="F28" s="8">
        <f t="shared" si="0"/>
        <v>0.02</v>
      </c>
      <c r="G28" s="36">
        <v>206174</v>
      </c>
      <c r="H28" s="20" t="s">
        <v>63</v>
      </c>
      <c r="I28" s="20" t="s">
        <v>137</v>
      </c>
      <c r="J28" s="19" t="s">
        <v>133</v>
      </c>
      <c r="K28" s="20" t="s">
        <v>58</v>
      </c>
      <c r="L28" s="13"/>
    </row>
    <row r="29" spans="1:12" ht="25.5">
      <c r="A29" s="4"/>
      <c r="B29" s="10">
        <v>23</v>
      </c>
      <c r="C29" s="18" t="s">
        <v>95</v>
      </c>
      <c r="D29" s="19">
        <v>13</v>
      </c>
      <c r="E29" s="20">
        <v>4.0000000000000001E-3</v>
      </c>
      <c r="F29" s="8">
        <f t="shared" si="0"/>
        <v>5.2000000000000005E-2</v>
      </c>
      <c r="G29" s="36">
        <v>86910</v>
      </c>
      <c r="H29" s="20" t="s">
        <v>59</v>
      </c>
      <c r="I29" s="20" t="s">
        <v>138</v>
      </c>
      <c r="J29" s="19" t="s">
        <v>133</v>
      </c>
      <c r="K29" s="20" t="s">
        <v>58</v>
      </c>
      <c r="L29" s="13"/>
    </row>
    <row r="30" spans="1:12">
      <c r="A30" s="4"/>
      <c r="B30" s="10">
        <v>24</v>
      </c>
      <c r="C30" s="18" t="s">
        <v>62</v>
      </c>
      <c r="D30" s="19">
        <v>2</v>
      </c>
      <c r="E30" s="20">
        <v>3.0000000000000001E-3</v>
      </c>
      <c r="F30" s="8">
        <f t="shared" si="0"/>
        <v>6.0000000000000001E-3</v>
      </c>
      <c r="G30" s="36">
        <v>281450</v>
      </c>
      <c r="H30" s="20" t="s">
        <v>64</v>
      </c>
      <c r="I30" s="20" t="s">
        <v>139</v>
      </c>
      <c r="J30" s="19" t="s">
        <v>133</v>
      </c>
      <c r="K30" s="20" t="s">
        <v>58</v>
      </c>
      <c r="L30" s="13"/>
    </row>
    <row r="31" spans="1:12">
      <c r="A31" s="4"/>
      <c r="B31" s="10">
        <v>25</v>
      </c>
      <c r="C31" s="18" t="s">
        <v>65</v>
      </c>
      <c r="D31" s="19">
        <v>1</v>
      </c>
      <c r="E31" s="20">
        <v>3.3E-3</v>
      </c>
      <c r="F31" s="8">
        <f t="shared" si="0"/>
        <v>3.3E-3</v>
      </c>
      <c r="G31" s="36">
        <v>31926</v>
      </c>
      <c r="H31" s="20" t="s">
        <v>69</v>
      </c>
      <c r="I31" s="20" t="s">
        <v>141</v>
      </c>
      <c r="J31" s="19" t="s">
        <v>140</v>
      </c>
      <c r="K31" s="20">
        <v>603</v>
      </c>
      <c r="L31" s="13"/>
    </row>
    <row r="32" spans="1:12">
      <c r="A32" s="4"/>
      <c r="B32" s="10">
        <v>26</v>
      </c>
      <c r="C32" s="18" t="s">
        <v>121</v>
      </c>
      <c r="D32" s="19">
        <v>4</v>
      </c>
      <c r="E32" s="20">
        <v>2.8999999999999998E-3</v>
      </c>
      <c r="F32" s="8">
        <f t="shared" si="0"/>
        <v>1.1599999999999999E-2</v>
      </c>
      <c r="G32" s="36">
        <v>4827797</v>
      </c>
      <c r="H32" s="20" t="s">
        <v>70</v>
      </c>
      <c r="I32" s="20" t="s">
        <v>142</v>
      </c>
      <c r="J32" s="19" t="s">
        <v>140</v>
      </c>
      <c r="K32" s="20">
        <v>603</v>
      </c>
      <c r="L32" s="13"/>
    </row>
    <row r="33" spans="1:12">
      <c r="A33" s="4"/>
      <c r="B33" s="10">
        <v>27</v>
      </c>
      <c r="C33" s="18" t="s">
        <v>122</v>
      </c>
      <c r="D33" s="19">
        <v>2</v>
      </c>
      <c r="E33" s="20">
        <v>2.8999999999999998E-3</v>
      </c>
      <c r="F33" s="8">
        <f t="shared" si="0"/>
        <v>5.7999999999999996E-3</v>
      </c>
      <c r="G33" s="36">
        <v>76672</v>
      </c>
      <c r="H33" s="20" t="s">
        <v>123</v>
      </c>
      <c r="I33" s="20" t="s">
        <v>143</v>
      </c>
      <c r="J33" s="19" t="s">
        <v>140</v>
      </c>
      <c r="K33" s="20">
        <v>603</v>
      </c>
      <c r="L33" s="13"/>
    </row>
    <row r="34" spans="1:12">
      <c r="A34" s="4"/>
      <c r="B34" s="10">
        <v>28</v>
      </c>
      <c r="C34" s="18" t="s">
        <v>67</v>
      </c>
      <c r="D34" s="19">
        <v>1</v>
      </c>
      <c r="E34" s="20">
        <v>5.4999999999999997E-3</v>
      </c>
      <c r="F34" s="8">
        <f t="shared" si="0"/>
        <v>5.4999999999999997E-3</v>
      </c>
      <c r="G34" s="36">
        <v>431343</v>
      </c>
      <c r="H34" s="20" t="s">
        <v>71</v>
      </c>
      <c r="I34" s="20" t="s">
        <v>144</v>
      </c>
      <c r="J34" s="19" t="s">
        <v>140</v>
      </c>
      <c r="K34" s="20">
        <v>1206</v>
      </c>
      <c r="L34" s="13"/>
    </row>
    <row r="35" spans="1:12">
      <c r="A35" s="4"/>
      <c r="B35" s="10">
        <v>29</v>
      </c>
      <c r="C35" s="18" t="s">
        <v>68</v>
      </c>
      <c r="D35" s="19">
        <v>2</v>
      </c>
      <c r="E35" s="20">
        <v>2.8999999999999998E-3</v>
      </c>
      <c r="F35" s="8">
        <f t="shared" si="0"/>
        <v>5.7999999999999996E-3</v>
      </c>
      <c r="G35" s="36">
        <v>206672</v>
      </c>
      <c r="H35" s="20" t="s">
        <v>76</v>
      </c>
      <c r="I35" s="20" t="s">
        <v>145</v>
      </c>
      <c r="J35" s="19" t="s">
        <v>140</v>
      </c>
      <c r="K35" s="20">
        <v>603</v>
      </c>
      <c r="L35" s="13"/>
    </row>
    <row r="36" spans="1:12">
      <c r="A36" s="4"/>
      <c r="B36" s="10">
        <v>30</v>
      </c>
      <c r="C36" s="18" t="s">
        <v>81</v>
      </c>
      <c r="D36" s="19">
        <v>1</v>
      </c>
      <c r="E36" s="20">
        <v>0.1174</v>
      </c>
      <c r="F36" s="8">
        <f t="shared" si="0"/>
        <v>0.1174</v>
      </c>
      <c r="G36" s="36">
        <v>249648</v>
      </c>
      <c r="H36" s="20" t="s">
        <v>82</v>
      </c>
      <c r="I36" s="20" t="s">
        <v>148</v>
      </c>
      <c r="J36" s="19" t="s">
        <v>147</v>
      </c>
      <c r="K36" s="20" t="s">
        <v>83</v>
      </c>
      <c r="L36" s="13" t="s">
        <v>146</v>
      </c>
    </row>
    <row r="37" spans="1:12" ht="15.75" thickBot="1">
      <c r="A37" s="4"/>
      <c r="B37" s="17"/>
      <c r="C37" s="18" t="s">
        <v>16</v>
      </c>
      <c r="D37" s="24">
        <f>SUM(D7:D36)</f>
        <v>61</v>
      </c>
      <c r="E37" s="24"/>
      <c r="F37" s="31">
        <f>SUM(F7:F36)</f>
        <v>10.170999999999999</v>
      </c>
      <c r="G37" s="12"/>
      <c r="H37" s="11"/>
      <c r="I37" s="11"/>
      <c r="J37" s="11"/>
      <c r="K37" s="11"/>
      <c r="L37" s="14"/>
    </row>
    <row r="38" spans="1:12">
      <c r="A38" s="3"/>
      <c r="B38" s="3"/>
      <c r="C38" s="25"/>
      <c r="D38" s="28"/>
      <c r="E38" s="28"/>
      <c r="F38" s="32"/>
      <c r="G38" s="3"/>
      <c r="H38" s="3"/>
      <c r="I38" s="3"/>
      <c r="J38" s="3"/>
    </row>
    <row r="39" spans="1:12">
      <c r="A39" s="3"/>
      <c r="B39" s="3"/>
      <c r="C39" s="26"/>
      <c r="D39" s="29"/>
      <c r="E39" s="29"/>
      <c r="F39" s="33"/>
      <c r="G39" s="3"/>
      <c r="H39" s="3"/>
      <c r="I39" s="3"/>
      <c r="J39" s="3"/>
    </row>
    <row r="40" spans="1:12">
      <c r="C40" s="26"/>
      <c r="D40" s="29"/>
      <c r="E40" s="29"/>
      <c r="F40" s="33"/>
      <c r="I40" s="3"/>
    </row>
    <row r="41" spans="1:12" ht="15.75" thickBot="1">
      <c r="B41" t="s">
        <v>15</v>
      </c>
      <c r="C41" s="27"/>
      <c r="D41" s="30"/>
      <c r="E41" s="30"/>
      <c r="F41" s="34"/>
      <c r="I41" s="3"/>
    </row>
    <row r="42" spans="1:12">
      <c r="I42" s="3"/>
    </row>
    <row r="43" spans="1:12">
      <c r="I43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19" r:id="rId5"/>
    <hyperlink ref="L20" r:id="rId6"/>
    <hyperlink ref="L21" r:id="rId7"/>
    <hyperlink ref="L22" r:id="rId8"/>
    <hyperlink ref="L23" r:id="rId9"/>
    <hyperlink ref="L17" r:id="rId10"/>
    <hyperlink ref="L7" r:id="rId11"/>
    <hyperlink ref="L8" r:id="rId12"/>
    <hyperlink ref="L13" r:id="rId13"/>
    <hyperlink ref="L16" r:id="rId14"/>
    <hyperlink ref="L15" r:id="rId15"/>
    <hyperlink ref="L14" r:id="rId16"/>
    <hyperlink ref="L24" r:id="rId17"/>
    <hyperlink ref="L36" r:id="rId18"/>
  </hyperlinks>
  <pageMargins left="0.7" right="0.7" top="0.75" bottom="0.75" header="0.3" footer="0.3"/>
  <pageSetup paperSize="9" scale="49" orientation="landscape" r:id="rId1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2014-06-21T11:09:11Z</dcterms:modified>
</cp:coreProperties>
</file>